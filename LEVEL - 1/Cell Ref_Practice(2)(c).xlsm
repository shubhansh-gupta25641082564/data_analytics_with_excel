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workbookPr/>
  <mc:AlternateContent xmlns:mc="http://schemas.openxmlformats.org/markup-compatibility/2006">
    <mc:Choice Requires="x15">
      <x15ac:absPath xmlns:x15ac="http://schemas.microsoft.com/office/spreadsheetml/2010/11/ac" url="C:\Users\shubh\Desktop\"/>
    </mc:Choice>
  </mc:AlternateContent>
  <xr:revisionPtr revIDLastSave="0" documentId="8_{71BDA461-9ACB-4641-9735-76D0BBA7DC26}" xr6:coauthVersionLast="47" xr6:coauthVersionMax="47" xr10:uidLastSave="{00000000-0000-0000-0000-000000000000}"/>
  <bookViews>
    <workbookView xWindow="-120" yWindow="-120" windowWidth="29040" windowHeight="16440" firstSheet="6" activeTab="18" xr2:uid="{00000000-000D-0000-FFFF-FFFF00000000}"/>
  </bookViews>
  <sheets>
    <sheet name="Topics" sheetId="1" r:id="rId1"/>
    <sheet name="HW(1)" sheetId="15" r:id="rId2"/>
    <sheet name="HW(1an)" sheetId="16" r:id="rId3"/>
    <sheet name="HW(2)" sheetId="17" r:id="rId4"/>
    <sheet name="HW(2an)" sheetId="18" r:id="rId5"/>
    <sheet name="HW(3)" sheetId="19" r:id="rId6"/>
    <sheet name="HW(3an)" sheetId="20" r:id="rId7"/>
    <sheet name="HW(4)" sheetId="23" r:id="rId8"/>
    <sheet name="HW(4an)" sheetId="24" r:id="rId9"/>
    <sheet name="HW(5)" sheetId="25" r:id="rId10"/>
    <sheet name="AssumptionsFor5" sheetId="26" r:id="rId11"/>
    <sheet name="HW(5an)" sheetId="27" r:id="rId12"/>
    <sheet name="HW(6)" sheetId="33" r:id="rId13"/>
    <sheet name="City A" sheetId="34" r:id="rId14"/>
    <sheet name="City B" sheetId="35" r:id="rId15"/>
    <sheet name="City C" sheetId="36" r:id="rId16"/>
    <sheet name="City D" sheetId="37" r:id="rId17"/>
    <sheet name="City E" sheetId="38" r:id="rId18"/>
    <sheet name="HW(6an)" sheetId="39" r:id="rId19"/>
  </sheets>
  <definedNames>
    <definedName name="AnswerAmount">#REF!</definedName>
    <definedName name="AnswerAnnualRate">#REF!</definedName>
    <definedName name="AnswerYea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33" l="1"/>
  <c r="E7" i="33"/>
  <c r="F7" i="33"/>
  <c r="G7" i="33"/>
  <c r="H7" i="33"/>
  <c r="D8" i="33"/>
  <c r="E8" i="33"/>
  <c r="F8" i="33"/>
  <c r="G8" i="33"/>
  <c r="H8" i="33"/>
  <c r="D9" i="33"/>
  <c r="E9" i="33"/>
  <c r="F9" i="33"/>
  <c r="G9" i="33"/>
  <c r="H9" i="33"/>
  <c r="D10" i="33"/>
  <c r="E10" i="33"/>
  <c r="F10" i="33"/>
  <c r="G10" i="33"/>
  <c r="H10" i="33"/>
  <c r="D11" i="33"/>
  <c r="E11" i="33"/>
  <c r="F11" i="33"/>
  <c r="G11" i="33"/>
  <c r="H11" i="33"/>
  <c r="D12" i="33"/>
  <c r="E12" i="33"/>
  <c r="F12" i="33"/>
  <c r="G12" i="33"/>
  <c r="H12" i="33"/>
  <c r="C8" i="33"/>
  <c r="C9" i="33"/>
  <c r="C10" i="33"/>
  <c r="C11" i="33"/>
  <c r="C12" i="33"/>
  <c r="C7" i="33"/>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 i="25"/>
  <c r="C5" i="27"/>
  <c r="H6" i="23"/>
  <c r="H7" i="23"/>
  <c r="H5" i="23"/>
  <c r="G6" i="23"/>
  <c r="G7" i="23"/>
  <c r="G5" i="23"/>
  <c r="D5" i="23"/>
  <c r="E5" i="23"/>
  <c r="F5" i="23"/>
  <c r="D6" i="23"/>
  <c r="E6" i="23"/>
  <c r="F6" i="23"/>
  <c r="D7" i="23"/>
  <c r="E7" i="23"/>
  <c r="F7" i="23"/>
  <c r="C6" i="23"/>
  <c r="C7" i="23"/>
  <c r="C5" i="23"/>
  <c r="D19" i="23"/>
  <c r="C19" i="23"/>
  <c r="B19" i="23"/>
  <c r="A19" i="23"/>
  <c r="D18" i="23"/>
  <c r="C18" i="23"/>
  <c r="B18" i="23"/>
  <c r="A18" i="23"/>
  <c r="D17" i="23"/>
  <c r="C17" i="23"/>
  <c r="B17" i="23"/>
  <c r="A17" i="23"/>
  <c r="D16" i="23"/>
  <c r="C16" i="23"/>
  <c r="B16" i="23"/>
  <c r="B20" i="23" s="1"/>
  <c r="B21" i="23" s="1"/>
  <c r="A16" i="23"/>
  <c r="F4" i="23"/>
  <c r="E4" i="23"/>
  <c r="D4" i="23"/>
  <c r="C4" i="23"/>
  <c r="C4" i="24"/>
  <c r="C17" i="19"/>
  <c r="D17" i="19"/>
  <c r="E17" i="19"/>
  <c r="F17" i="19"/>
  <c r="G17" i="19"/>
  <c r="C16" i="19"/>
  <c r="D16" i="19"/>
  <c r="E16" i="19"/>
  <c r="F16" i="19"/>
  <c r="G16" i="19"/>
  <c r="C5" i="19"/>
  <c r="D5" i="19"/>
  <c r="E5" i="19"/>
  <c r="F5" i="19"/>
  <c r="G5" i="19"/>
  <c r="C6" i="19"/>
  <c r="D6" i="19"/>
  <c r="E6" i="19"/>
  <c r="F6" i="19"/>
  <c r="G6" i="19"/>
  <c r="C7" i="19"/>
  <c r="D7" i="19"/>
  <c r="E7" i="19"/>
  <c r="F7" i="19"/>
  <c r="G7" i="19"/>
  <c r="C8" i="19"/>
  <c r="D8" i="19"/>
  <c r="E8" i="19"/>
  <c r="F8" i="19"/>
  <c r="G8" i="19"/>
  <c r="C9" i="19"/>
  <c r="D9" i="19"/>
  <c r="E9" i="19"/>
  <c r="F9" i="19"/>
  <c r="G9" i="19"/>
  <c r="C10" i="19"/>
  <c r="D10" i="19"/>
  <c r="E10" i="19"/>
  <c r="F10" i="19"/>
  <c r="G10" i="19"/>
  <c r="C11" i="19"/>
  <c r="D11" i="19"/>
  <c r="E11" i="19"/>
  <c r="F11" i="19"/>
  <c r="G11" i="19"/>
  <c r="C12" i="19"/>
  <c r="D12" i="19"/>
  <c r="E12" i="19"/>
  <c r="F12" i="19"/>
  <c r="G12" i="19"/>
  <c r="C13" i="19"/>
  <c r="D13" i="19"/>
  <c r="E13" i="19"/>
  <c r="F13" i="19"/>
  <c r="G13" i="19"/>
  <c r="C14" i="19"/>
  <c r="D14" i="19"/>
  <c r="E14" i="19"/>
  <c r="F14" i="19"/>
  <c r="G14" i="19"/>
  <c r="C15" i="19"/>
  <c r="D15" i="19"/>
  <c r="E15" i="19"/>
  <c r="F15" i="19"/>
  <c r="G15" i="19"/>
  <c r="B6" i="19"/>
  <c r="B7" i="19"/>
  <c r="B8" i="19"/>
  <c r="B9" i="19"/>
  <c r="B10" i="19"/>
  <c r="B11" i="19"/>
  <c r="B12" i="19"/>
  <c r="B13" i="19"/>
  <c r="B14" i="19"/>
  <c r="B15" i="19"/>
  <c r="B5" i="19"/>
  <c r="B5" i="20"/>
  <c r="B16" i="19"/>
  <c r="B17" i="19" s="1"/>
  <c r="E4" i="17"/>
  <c r="F4" i="17"/>
  <c r="G4" i="17"/>
  <c r="H4" i="17"/>
  <c r="I4" i="17"/>
  <c r="J4" i="17"/>
  <c r="E5" i="17"/>
  <c r="F5" i="17"/>
  <c r="G5" i="17"/>
  <c r="H5" i="17"/>
  <c r="I5" i="17"/>
  <c r="J5" i="17"/>
  <c r="E6" i="17"/>
  <c r="F6" i="17"/>
  <c r="G6" i="17"/>
  <c r="H6" i="17"/>
  <c r="I6" i="17"/>
  <c r="J6" i="17"/>
  <c r="E7" i="17"/>
  <c r="F7" i="17"/>
  <c r="G7" i="17"/>
  <c r="H7" i="17"/>
  <c r="I7" i="17"/>
  <c r="J7" i="17"/>
  <c r="E8" i="17"/>
  <c r="F8" i="17"/>
  <c r="G8" i="17"/>
  <c r="H8" i="17"/>
  <c r="I8" i="17"/>
  <c r="J8" i="17"/>
  <c r="E9" i="17"/>
  <c r="F9" i="17"/>
  <c r="G9" i="17"/>
  <c r="H9" i="17"/>
  <c r="I9" i="17"/>
  <c r="J9" i="17"/>
  <c r="E10" i="17"/>
  <c r="F10" i="17"/>
  <c r="G10" i="17"/>
  <c r="H10" i="17"/>
  <c r="I10" i="17"/>
  <c r="J10" i="17"/>
  <c r="E11" i="17"/>
  <c r="F11" i="17"/>
  <c r="G11" i="17"/>
  <c r="H11" i="17"/>
  <c r="I11" i="17"/>
  <c r="J11" i="17"/>
  <c r="E12" i="17"/>
  <c r="F12" i="17"/>
  <c r="G12" i="17"/>
  <c r="H12" i="17"/>
  <c r="I12" i="17"/>
  <c r="J12" i="17"/>
  <c r="D5" i="17"/>
  <c r="D6" i="17"/>
  <c r="D7" i="17"/>
  <c r="D8" i="17"/>
  <c r="D9" i="17"/>
  <c r="D10" i="17"/>
  <c r="D11" i="17"/>
  <c r="D12" i="17"/>
  <c r="D4" i="17"/>
  <c r="G5" i="15"/>
  <c r="H5" i="15"/>
  <c r="G6" i="15"/>
  <c r="H6" i="15"/>
  <c r="G7" i="15"/>
  <c r="H7" i="15"/>
  <c r="G8" i="15"/>
  <c r="H8" i="15"/>
  <c r="G9" i="15"/>
  <c r="H9" i="15"/>
  <c r="G10" i="15"/>
  <c r="H10" i="15"/>
  <c r="F6" i="15"/>
  <c r="F7" i="15"/>
  <c r="F8" i="15"/>
  <c r="F9" i="15"/>
  <c r="F10" i="15"/>
  <c r="F5" i="15"/>
  <c r="F5" i="16"/>
  <c r="D5" i="15"/>
  <c r="E5" i="15"/>
  <c r="D6" i="15"/>
  <c r="E6" i="15"/>
  <c r="D7" i="15"/>
  <c r="E7" i="15"/>
  <c r="D8" i="15"/>
  <c r="E8" i="15"/>
  <c r="D9" i="15"/>
  <c r="E9" i="15"/>
  <c r="D10" i="15"/>
  <c r="E10" i="15"/>
  <c r="C6" i="15"/>
  <c r="C7" i="15"/>
  <c r="C8" i="15"/>
  <c r="C9" i="15"/>
  <c r="C10" i="15"/>
  <c r="C5" i="15"/>
  <c r="C7" i="39"/>
  <c r="D7" i="39"/>
  <c r="E7" i="39"/>
  <c r="F7" i="39"/>
  <c r="G7" i="39"/>
  <c r="H7" i="39"/>
  <c r="C8" i="39"/>
  <c r="D8" i="39"/>
  <c r="E8" i="39"/>
  <c r="F8" i="39"/>
  <c r="G8" i="39"/>
  <c r="H8" i="39"/>
  <c r="C9" i="39"/>
  <c r="D9" i="39"/>
  <c r="E9" i="39"/>
  <c r="F9" i="39"/>
  <c r="G9" i="39"/>
  <c r="H9" i="39"/>
  <c r="C10" i="39"/>
  <c r="D10" i="39"/>
  <c r="E10" i="39"/>
  <c r="F10" i="39"/>
  <c r="G10" i="39"/>
  <c r="H10" i="39"/>
  <c r="C11" i="39"/>
  <c r="D11" i="39"/>
  <c r="E11" i="39"/>
  <c r="F11" i="39"/>
  <c r="G11" i="39"/>
  <c r="H11" i="39"/>
  <c r="C12" i="39"/>
  <c r="D12" i="39"/>
  <c r="E12" i="39"/>
  <c r="F12" i="39"/>
  <c r="G12" i="39"/>
  <c r="H12" i="39"/>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B20" i="24"/>
  <c r="B21" i="24" s="1"/>
  <c r="D19" i="24"/>
  <c r="C19" i="24"/>
  <c r="B19" i="24"/>
  <c r="A19" i="24"/>
  <c r="D18" i="24"/>
  <c r="C18" i="24"/>
  <c r="B18" i="24"/>
  <c r="A18" i="24"/>
  <c r="D17" i="24"/>
  <c r="C17" i="24"/>
  <c r="B17" i="24"/>
  <c r="A17" i="24"/>
  <c r="D16" i="24"/>
  <c r="D20" i="24" s="1"/>
  <c r="D21" i="24" s="1"/>
  <c r="C16" i="24"/>
  <c r="C20" i="24" s="1"/>
  <c r="C21" i="24" s="1"/>
  <c r="B16" i="24"/>
  <c r="A16" i="24"/>
  <c r="F7" i="24"/>
  <c r="E7" i="24"/>
  <c r="D7" i="24"/>
  <c r="C7" i="24"/>
  <c r="F6" i="24"/>
  <c r="E6" i="24"/>
  <c r="D6" i="24"/>
  <c r="C6" i="24"/>
  <c r="G6" i="24" s="1"/>
  <c r="H6" i="24" s="1"/>
  <c r="F5" i="24"/>
  <c r="E5" i="24"/>
  <c r="D5" i="24"/>
  <c r="C5" i="24"/>
  <c r="F4" i="24"/>
  <c r="E4" i="24"/>
  <c r="D4" i="24"/>
  <c r="J16" i="20"/>
  <c r="G15" i="20"/>
  <c r="F15" i="20"/>
  <c r="E15" i="20"/>
  <c r="D15" i="20"/>
  <c r="C15" i="20"/>
  <c r="B15" i="20"/>
  <c r="G14" i="20"/>
  <c r="F14" i="20"/>
  <c r="E14" i="20"/>
  <c r="D14" i="20"/>
  <c r="C14" i="20"/>
  <c r="B14" i="20"/>
  <c r="G13" i="20"/>
  <c r="F13" i="20"/>
  <c r="E13" i="20"/>
  <c r="D13" i="20"/>
  <c r="C13" i="20"/>
  <c r="B13" i="20"/>
  <c r="G12" i="20"/>
  <c r="F12" i="20"/>
  <c r="E12" i="20"/>
  <c r="D12" i="20"/>
  <c r="C12" i="20"/>
  <c r="B12" i="20"/>
  <c r="G11" i="20"/>
  <c r="F11" i="20"/>
  <c r="E11" i="20"/>
  <c r="D11" i="20"/>
  <c r="C11" i="20"/>
  <c r="B11" i="20"/>
  <c r="G10" i="20"/>
  <c r="F10" i="20"/>
  <c r="E10" i="20"/>
  <c r="D10" i="20"/>
  <c r="C10" i="20"/>
  <c r="B10" i="20"/>
  <c r="G9" i="20"/>
  <c r="F9" i="20"/>
  <c r="E9" i="20"/>
  <c r="D9" i="20"/>
  <c r="C9" i="20"/>
  <c r="B9" i="20"/>
  <c r="G8" i="20"/>
  <c r="F8" i="20"/>
  <c r="E8" i="20"/>
  <c r="D8" i="20"/>
  <c r="C8" i="20"/>
  <c r="B8" i="20"/>
  <c r="G7" i="20"/>
  <c r="F7" i="20"/>
  <c r="E7" i="20"/>
  <c r="D7" i="20"/>
  <c r="C7" i="20"/>
  <c r="B7" i="20"/>
  <c r="G6" i="20"/>
  <c r="F6" i="20"/>
  <c r="E6" i="20"/>
  <c r="D6" i="20"/>
  <c r="C6" i="20"/>
  <c r="C16" i="20" s="1"/>
  <c r="C17" i="20" s="1"/>
  <c r="B6" i="20"/>
  <c r="G5" i="20"/>
  <c r="F5" i="20"/>
  <c r="F16" i="20" s="1"/>
  <c r="F17" i="20" s="1"/>
  <c r="E5" i="20"/>
  <c r="D5" i="20"/>
  <c r="C5" i="20"/>
  <c r="J12" i="18"/>
  <c r="I12" i="18"/>
  <c r="H12" i="18"/>
  <c r="G12" i="18"/>
  <c r="F12" i="18"/>
  <c r="E12" i="18"/>
  <c r="D12" i="18"/>
  <c r="J11" i="18"/>
  <c r="I11" i="18"/>
  <c r="H11" i="18"/>
  <c r="G11" i="18"/>
  <c r="F11" i="18"/>
  <c r="E11" i="18"/>
  <c r="D11" i="18"/>
  <c r="J10" i="18"/>
  <c r="I10" i="18"/>
  <c r="H10" i="18"/>
  <c r="G10" i="18"/>
  <c r="F10" i="18"/>
  <c r="E10" i="18"/>
  <c r="D10" i="18"/>
  <c r="J9" i="18"/>
  <c r="I9" i="18"/>
  <c r="H9" i="18"/>
  <c r="G9" i="18"/>
  <c r="F9" i="18"/>
  <c r="E9" i="18"/>
  <c r="D9" i="18"/>
  <c r="J8" i="18"/>
  <c r="I8" i="18"/>
  <c r="H8" i="18"/>
  <c r="G8" i="18"/>
  <c r="F8" i="18"/>
  <c r="E8" i="18"/>
  <c r="D8" i="18"/>
  <c r="J7" i="18"/>
  <c r="I7" i="18"/>
  <c r="H7" i="18"/>
  <c r="G7" i="18"/>
  <c r="F7" i="18"/>
  <c r="E7" i="18"/>
  <c r="D7" i="18"/>
  <c r="J6" i="18"/>
  <c r="I6" i="18"/>
  <c r="H6" i="18"/>
  <c r="G6" i="18"/>
  <c r="F6" i="18"/>
  <c r="E6" i="18"/>
  <c r="D6" i="18"/>
  <c r="J5" i="18"/>
  <c r="I5" i="18"/>
  <c r="H5" i="18"/>
  <c r="G5" i="18"/>
  <c r="F5" i="18"/>
  <c r="E5" i="18"/>
  <c r="D5" i="18"/>
  <c r="J4" i="18"/>
  <c r="I4" i="18"/>
  <c r="H4" i="18"/>
  <c r="G4" i="18"/>
  <c r="K4" i="18" s="1"/>
  <c r="F4" i="18"/>
  <c r="E4" i="18"/>
  <c r="D4" i="18"/>
  <c r="J3" i="18"/>
  <c r="I3" i="18"/>
  <c r="H3" i="18"/>
  <c r="G3" i="18"/>
  <c r="F3" i="18"/>
  <c r="E3" i="18"/>
  <c r="D3" i="18"/>
  <c r="J3" i="17"/>
  <c r="I3" i="17"/>
  <c r="H3" i="17"/>
  <c r="G3" i="17"/>
  <c r="F3" i="17"/>
  <c r="E3" i="17"/>
  <c r="D3" i="17"/>
  <c r="B14" i="16"/>
  <c r="C4" i="16"/>
  <c r="C10" i="16" s="1"/>
  <c r="F10" i="16" s="1"/>
  <c r="B14" i="15"/>
  <c r="C4" i="15"/>
  <c r="D4" i="15" s="1"/>
  <c r="E4" i="15" s="1"/>
  <c r="C20" i="23" l="1"/>
  <c r="C21" i="23" s="1"/>
  <c r="D20" i="23"/>
  <c r="D21" i="23" s="1"/>
  <c r="K5" i="17"/>
  <c r="K10" i="17"/>
  <c r="K9" i="17"/>
  <c r="E13" i="17"/>
  <c r="D13" i="17"/>
  <c r="F13" i="17"/>
  <c r="K4" i="17"/>
  <c r="K6" i="17"/>
  <c r="K12" i="17"/>
  <c r="K11" i="17"/>
  <c r="B16" i="20"/>
  <c r="B17" i="20" s="1"/>
  <c r="F13" i="18"/>
  <c r="K5" i="18"/>
  <c r="E16" i="20"/>
  <c r="E17" i="20" s="1"/>
  <c r="G16" i="20"/>
  <c r="G17" i="20" s="1"/>
  <c r="K12" i="18"/>
  <c r="H13" i="18"/>
  <c r="K11" i="18"/>
  <c r="C5" i="16"/>
  <c r="I13" i="18"/>
  <c r="K10" i="18"/>
  <c r="K9" i="18"/>
  <c r="K8" i="18"/>
  <c r="D13" i="18"/>
  <c r="K7" i="18"/>
  <c r="G5" i="24"/>
  <c r="H5" i="24" s="1"/>
  <c r="G7" i="24"/>
  <c r="H7" i="24" s="1"/>
  <c r="J13" i="18"/>
  <c r="C7" i="16"/>
  <c r="F7" i="16" s="1"/>
  <c r="D16" i="20"/>
  <c r="D17" i="20" s="1"/>
  <c r="E13" i="18"/>
  <c r="K13" i="18" s="1"/>
  <c r="K6" i="18"/>
  <c r="J18" i="20"/>
  <c r="G13" i="18"/>
  <c r="C9" i="16"/>
  <c r="F9" i="16" s="1"/>
  <c r="D4" i="16"/>
  <c r="C6" i="16"/>
  <c r="F6" i="16" s="1"/>
  <c r="C8" i="16"/>
  <c r="F8" i="16" s="1"/>
  <c r="K8" i="17" l="1"/>
  <c r="G13" i="17"/>
  <c r="K7" i="17"/>
  <c r="D9" i="16"/>
  <c r="G9" i="16" s="1"/>
  <c r="D7" i="16"/>
  <c r="G7" i="16" s="1"/>
  <c r="D5" i="16"/>
  <c r="G5" i="16" s="1"/>
  <c r="D8" i="16"/>
  <c r="G8" i="16" s="1"/>
  <c r="E4" i="16"/>
  <c r="D10" i="16"/>
  <c r="G10" i="16" s="1"/>
  <c r="D6" i="16"/>
  <c r="G6" i="16" s="1"/>
  <c r="H13" i="17" l="1"/>
  <c r="E9" i="16"/>
  <c r="H9" i="16" s="1"/>
  <c r="E7" i="16"/>
  <c r="H7" i="16" s="1"/>
  <c r="E5" i="16"/>
  <c r="H5" i="16" s="1"/>
  <c r="E10" i="16"/>
  <c r="H10" i="16" s="1"/>
  <c r="E8" i="16"/>
  <c r="H8" i="16" s="1"/>
  <c r="E6" i="16"/>
  <c r="H6" i="16" s="1"/>
  <c r="I13" i="17" l="1"/>
  <c r="J13" i="17"/>
  <c r="K13" i="17" l="1"/>
</calcChain>
</file>

<file path=xl/sharedStrings.xml><?xml version="1.0" encoding="utf-8"?>
<sst xmlns="http://schemas.openxmlformats.org/spreadsheetml/2006/main" count="430" uniqueCount="132">
  <si>
    <t>Topics:</t>
  </si>
  <si>
    <t>Relative Cell Reference</t>
  </si>
  <si>
    <t>Absolute Cell Reference</t>
  </si>
  <si>
    <t>Mixed Cell Reference with row locked cell reference (also known as row absolute, column relative)</t>
  </si>
  <si>
    <t>Mixed Cell Reference with column locked cell reference (also known as column absolute, row relative)</t>
  </si>
  <si>
    <t>3-D cell reference</t>
  </si>
  <si>
    <t>Net Income</t>
  </si>
  <si>
    <t>Month</t>
  </si>
  <si>
    <t>Jan</t>
  </si>
  <si>
    <t>Feb</t>
  </si>
  <si>
    <t>Mar</t>
  </si>
  <si>
    <t>Apr</t>
  </si>
  <si>
    <t>May</t>
  </si>
  <si>
    <t>Total Expenses</t>
  </si>
  <si>
    <t>Items</t>
  </si>
  <si>
    <t>Sofa</t>
  </si>
  <si>
    <t>Chair</t>
  </si>
  <si>
    <t>Picture</t>
  </si>
  <si>
    <t>Increment</t>
  </si>
  <si>
    <t>Sheet Cell Reference</t>
  </si>
  <si>
    <t>Jun</t>
  </si>
  <si>
    <t>Total</t>
  </si>
  <si>
    <t>Rev</t>
  </si>
  <si>
    <t>Quad</t>
  </si>
  <si>
    <t>Aspen</t>
  </si>
  <si>
    <t>Yanaki</t>
  </si>
  <si>
    <t>Sales</t>
  </si>
  <si>
    <t>Sunshine</t>
  </si>
  <si>
    <t>Majestic Beaut</t>
  </si>
  <si>
    <t>1) Cell C5 has the formula for calculating Retail Selling Price based on Margin. Put the formula in cell C5 in edit mode and add the correct dollar signs to the cell references to enable you to copy the formula through the range C5:E10.
2) Create a formula in cell F5 that can be copied through the range F5:H10 that will increased each price in the range C5:E10 by 10%.</t>
  </si>
  <si>
    <t>Retail Selling Price by Margin</t>
  </si>
  <si>
    <t>Cost</t>
  </si>
  <si>
    <t>New Price</t>
  </si>
  <si>
    <t>Head Lamp</t>
  </si>
  <si>
    <t>Table</t>
  </si>
  <si>
    <t>Dining Set</t>
  </si>
  <si>
    <t>Assumption Table</t>
  </si>
  <si>
    <t>Increase in Price</t>
  </si>
  <si>
    <t>In the green cells, range D4:J12, create a formula in cell D4 that calculates the expenses as a percent of Income and then copy it through the range D4:J12.</t>
  </si>
  <si>
    <t>Income</t>
  </si>
  <si>
    <t>Jul</t>
  </si>
  <si>
    <t>Aug</t>
  </si>
  <si>
    <t>Sep</t>
  </si>
  <si>
    <t>Assumptions (Formula Inputs)</t>
  </si>
  <si>
    <t>Expense 1</t>
  </si>
  <si>
    <t>Expense 2</t>
  </si>
  <si>
    <t>Expense 3</t>
  </si>
  <si>
    <t>Expense 4</t>
  </si>
  <si>
    <t>Expense 5</t>
  </si>
  <si>
    <t>Expense 6</t>
  </si>
  <si>
    <t>Expense 7</t>
  </si>
  <si>
    <t>1) Create the formulas to complete the Projected Net Income Statement. Before you start creating formulas, analyze the setup and make adjustments if necessary to be efficient. (You can copy Assumption Table, and use the Paste Special Transpose feature to change the orientation of the table).</t>
  </si>
  <si>
    <t>Ex1</t>
  </si>
  <si>
    <t>Ex2</t>
  </si>
  <si>
    <t>Ex3</t>
  </si>
  <si>
    <t>Ex4</t>
  </si>
  <si>
    <t>Ex5</t>
  </si>
  <si>
    <t>Ex6</t>
  </si>
  <si>
    <t>Ex7</t>
  </si>
  <si>
    <t>Ex8</t>
  </si>
  <si>
    <t>Ex9</t>
  </si>
  <si>
    <t>Ex10</t>
  </si>
  <si>
    <t>Ex11</t>
  </si>
  <si>
    <t>Total Ex</t>
  </si>
  <si>
    <t>Assumptions</t>
  </si>
  <si>
    <t>Check</t>
  </si>
  <si>
    <t>The projected revenue for Jan, Feb and Mar are $1000, $2000, and $2500 respectively. The projected expenses as a percentage of revenue for each month are: Rent = 25%, Operating Expenses = 35%, Administrative expenses = 10% and Miscellaneous expenses = 8.5%. Create a projected Income Statement and formatted it so it looks good.</t>
  </si>
  <si>
    <t>Rent</t>
  </si>
  <si>
    <t>Operating Expense</t>
  </si>
  <si>
    <t>Admin Expenses</t>
  </si>
  <si>
    <t>Misc. Expenses</t>
  </si>
  <si>
    <t>OR</t>
  </si>
  <si>
    <t>Create a formula in the Earned Commission column using the commission rate from the sheet named "AssumptionsFor6".</t>
  </si>
  <si>
    <t>SalesRep</t>
  </si>
  <si>
    <t>Earned Commission</t>
  </si>
  <si>
    <t>Abraham</t>
  </si>
  <si>
    <t>Hironobu</t>
  </si>
  <si>
    <t>Daniel</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</si>
  <si>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</si>
  <si>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</si>
  <si>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</si>
  <si>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</si>
  <si>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</si>
  <si>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</si>
  <si>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</si>
  <si>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</si>
  <si>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</si>
  <si>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</si>
  <si>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</si>
  <si>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</si>
  <si>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</si>
  <si>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</si>
  <si>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</si>
  <si>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</si>
  <si>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</si>
  <si>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</si>
  <si>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</si>
  <si>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</si>
  <si>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</si>
  <si>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</si>
  <si>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</si>
  <si>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</si>
  <si>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</si>
  <si>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</si>
  <si>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</si>
  <si>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</si>
  <si>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</si>
  <si>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</si>
  <si>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</si>
  <si>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</si>
  <si>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</si>
  <si>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</si>
  <si>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</si>
  <si>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</si>
  <si>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</si>
  <si>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</si>
  <si>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</si>
  <si>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</si>
  <si>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</si>
  <si>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</si>
  <si>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</si>
  <si>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</si>
  <si>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</si>
  <si>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Assumption Table
contains Formula Inputs</t>
  </si>
  <si>
    <t>Commission Rate</t>
  </si>
  <si>
    <t>Product/Month</t>
  </si>
  <si>
    <t>Tri Fly</t>
  </si>
  <si>
    <t>Units Sold:</t>
  </si>
  <si>
    <t>In the cell C7, create a formula with the SUM function and a 3-D Cell Reference that will add all the Units Sold for each Sales Rep</t>
  </si>
  <si>
    <t>from the Sheets named "Sioux", "Tyrone", "Chin", "Phil", and "Tommy". Then copy the formula through the range C7:H12.</t>
  </si>
  <si>
    <t>In the cell C7, create a formula with the SUM function and a 3-D Cell Reference that will add all the Units Sold for each City</t>
  </si>
  <si>
    <t>from the Sheets named "City A", "City B", "City C", "City D", and "City E". Then copy the formula through the range C7:H12.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</si>
</sst>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quot;$&quot;#,##0.00_);[Red]\(&quot;$&quot;#,##0.00\)"/>
    <numFmt numFmtId="166" formatCode="_(&quot;$&quot;* #,##0.00_);_(&quot;$&quot;* \(#,##0.00\);_(&quot;$&quot;* &quot;-&quot;??_);_(@_)"/>
    <numFmt numFmtId="167" formatCode="&quot;$&quot;#,##0.00"/>
    <numFmt numFmtId="168" formatCode="0.0%"/>
    <numFmt numFmtId="169" formatCode=";;;"/>
    <numFmt numFmtId="170" formatCode="&quot;$&quot;#,##0.000_);[Red]\(&quot;$&quot;#,##0.000\)"/>
    <numFmt numFmtId="173" formatCode="#,##0.00;[Red]#,##0.00"/>
  </numFmts>
  <fonts count="7"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14">
    <fill>
      <patternFill patternType="none"/>
    </fill>
    <fill>
      <patternFill patternType="gray125"/>
    </fill>
    <fill>
      <patternFill patternType="solid">
        <fgColor rgb="FF002060"/>
        <bgColor indexed="64"/>
      </patternFill>
    </fill>
    <fill>
      <patternFill patternType="solid">
        <fgColor rgb="FFCCFFCC"/>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theme="9" tint="0.59999389629810485"/>
        <bgColor indexed="64"/>
      </patternFill>
    </fill>
    <fill>
      <patternFill patternType="solid">
        <fgColor rgb="FFFFFF9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thin">
        <color indexed="64"/>
      </top>
      <bottom style="thin">
        <color indexed="64"/>
      </bottom>
      <diagonal/>
    </border>
  </borders>
  <cellStyleXfs count="6">
    <xf numFmtId="0" fontId="0" fillId="0" borderId="0"/>
    <xf numFmtId="164" fontId="3" fillId="0" borderId="0" applyFont="0" applyFill="0" applyBorder="0" applyAlignment="0" applyProtection="0"/>
    <xf numFmtId="9" fontId="3" fillId="0" borderId="0" applyFont="0" applyFill="0" applyBorder="0" applyAlignment="0" applyProtection="0"/>
    <xf numFmtId="0" fontId="5" fillId="0" borderId="0"/>
    <xf numFmtId="166" fontId="3" fillId="0" borderId="0" applyFont="0" applyFill="0" applyBorder="0" applyAlignment="0" applyProtection="0"/>
    <xf numFmtId="169" fontId="5" fillId="0" borderId="14"/>
  </cellStyleXfs>
  <cellXfs count="69">
    <xf numFmtId="0" fontId="0" fillId="0" borderId="0" xfId="0"/>
    <xf numFmtId="0" fontId="1" fillId="2" borderId="1" xfId="0" applyFont="1" applyFill="1" applyBorder="1"/>
    <xf numFmtId="0" fontId="2" fillId="2" borderId="1" xfId="0" applyFont="1" applyFill="1" applyBorder="1"/>
    <xf numFmtId="0" fontId="0" fillId="0" borderId="1" xfId="0" applyBorder="1"/>
    <xf numFmtId="0" fontId="4" fillId="0" borderId="0" xfId="0" applyFont="1"/>
    <xf numFmtId="0" fontId="0" fillId="3" borderId="1" xfId="0" applyFill="1" applyBorder="1"/>
    <xf numFmtId="165" fontId="0" fillId="3" borderId="1"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10" fontId="0" fillId="0" borderId="1" xfId="0" applyNumberFormat="1" applyBorder="1"/>
    <xf numFmtId="0" fontId="4" fillId="0" borderId="1" xfId="0" applyFont="1" applyBorder="1"/>
    <xf numFmtId="164" fontId="0" fillId="3" borderId="1" xfId="1" applyFont="1" applyFill="1" applyBorder="1"/>
    <xf numFmtId="0" fontId="2" fillId="7" borderId="1" xfId="0" applyFont="1" applyFill="1" applyBorder="1" applyAlignment="1">
      <alignment horizontal="centerContinuous" wrapText="1"/>
    </xf>
    <xf numFmtId="10" fontId="0" fillId="0" borderId="1" xfId="2" applyNumberFormat="1" applyFont="1" applyBorder="1"/>
    <xf numFmtId="0" fontId="2" fillId="7" borderId="1" xfId="0" applyFont="1" applyFill="1" applyBorder="1"/>
    <xf numFmtId="166" fontId="0" fillId="0" borderId="1" xfId="4" applyFont="1" applyBorder="1"/>
    <xf numFmtId="0" fontId="0" fillId="9" borderId="1" xfId="0" applyFill="1" applyBorder="1" applyAlignment="1">
      <alignment horizontal="centerContinuous" wrapText="1"/>
    </xf>
    <xf numFmtId="0" fontId="5" fillId="0" borderId="0" xfId="0" applyFont="1"/>
    <xf numFmtId="0" fontId="6" fillId="5" borderId="0" xfId="0" applyFont="1" applyFill="1" applyAlignment="1">
      <alignment horizontal="centerContinuous" wrapText="1"/>
    </xf>
    <xf numFmtId="0" fontId="6" fillId="2" borderId="1" xfId="0" applyFont="1" applyFill="1" applyBorder="1"/>
    <xf numFmtId="9" fontId="6" fillId="2" borderId="1" xfId="0" applyNumberFormat="1" applyFont="1" applyFill="1" applyBorder="1"/>
    <xf numFmtId="0" fontId="6" fillId="2" borderId="1" xfId="0" applyFont="1" applyFill="1" applyBorder="1" applyAlignment="1">
      <alignment wrapText="1"/>
    </xf>
    <xf numFmtId="165" fontId="0" fillId="0" borderId="1" xfId="0" applyNumberFormat="1" applyBorder="1"/>
    <xf numFmtId="0" fontId="5" fillId="0" borderId="1" xfId="0" applyFont="1" applyBorder="1" applyAlignment="1">
      <alignment horizontal="left"/>
    </xf>
    <xf numFmtId="167" fontId="5" fillId="10" borderId="1" xfId="0" applyNumberFormat="1" applyFont="1" applyFill="1" applyBorder="1"/>
    <xf numFmtId="167" fontId="5" fillId="11" borderId="1" xfId="0" applyNumberFormat="1" applyFont="1" applyFill="1" applyBorder="1"/>
    <xf numFmtId="4" fontId="5" fillId="10" borderId="1" xfId="0" applyNumberFormat="1" applyFont="1" applyFill="1" applyBorder="1"/>
    <xf numFmtId="0" fontId="2" fillId="7" borderId="0" xfId="0" applyFont="1" applyFill="1" applyAlignment="1">
      <alignment horizontal="centerContinuous" wrapText="1"/>
    </xf>
    <xf numFmtId="0" fontId="5" fillId="0" borderId="1" xfId="0" applyFont="1" applyBorder="1" applyAlignment="1">
      <alignment wrapText="1"/>
    </xf>
    <xf numFmtId="9" fontId="5" fillId="0" borderId="1" xfId="0" applyNumberFormat="1" applyFont="1" applyBorder="1"/>
    <xf numFmtId="168" fontId="5" fillId="0" borderId="1" xfId="0" applyNumberFormat="1" applyFont="1" applyBorder="1"/>
    <xf numFmtId="0" fontId="0" fillId="9" borderId="10" xfId="0" applyFill="1" applyBorder="1" applyAlignment="1">
      <alignment horizontal="centerContinuous" wrapText="1"/>
    </xf>
    <xf numFmtId="0" fontId="0" fillId="9" borderId="11" xfId="0" applyFill="1" applyBorder="1" applyAlignment="1">
      <alignment horizontal="centerContinuous" wrapText="1"/>
    </xf>
    <xf numFmtId="0" fontId="0" fillId="9" borderId="12" xfId="0" applyFill="1" applyBorder="1" applyAlignment="1">
      <alignment horizontal="centerContinuous" wrapText="1"/>
    </xf>
    <xf numFmtId="0" fontId="1" fillId="2" borderId="10" xfId="0" applyFont="1" applyFill="1" applyBorder="1"/>
    <xf numFmtId="165" fontId="0" fillId="3" borderId="10" xfId="0" applyNumberFormat="1" applyFill="1" applyBorder="1"/>
    <xf numFmtId="165" fontId="0" fillId="8" borderId="1" xfId="0" applyNumberFormat="1" applyFill="1" applyBorder="1"/>
    <xf numFmtId="165" fontId="0" fillId="0" borderId="9" xfId="0" applyNumberFormat="1" applyBorder="1"/>
    <xf numFmtId="165" fontId="0" fillId="3" borderId="9" xfId="0" applyNumberFormat="1" applyFill="1" applyBorder="1"/>
    <xf numFmtId="165" fontId="0" fillId="3" borderId="2" xfId="0" applyNumberFormat="1" applyFill="1" applyBorder="1"/>
    <xf numFmtId="165" fontId="0" fillId="8" borderId="9" xfId="0" applyNumberFormat="1" applyFill="1" applyBorder="1"/>
    <xf numFmtId="0" fontId="1" fillId="2" borderId="8" xfId="0" applyFont="1" applyFill="1" applyBorder="1"/>
    <xf numFmtId="165" fontId="0" fillId="8" borderId="8" xfId="0" applyNumberFormat="1" applyFill="1" applyBorder="1"/>
    <xf numFmtId="0" fontId="2" fillId="6" borderId="1" xfId="0" applyFont="1" applyFill="1" applyBorder="1"/>
    <xf numFmtId="0" fontId="2" fillId="6" borderId="9" xfId="0" applyFont="1" applyFill="1" applyBorder="1"/>
    <xf numFmtId="0" fontId="2" fillId="6" borderId="8" xfId="0" applyFont="1" applyFill="1" applyBorder="1"/>
    <xf numFmtId="0" fontId="2" fillId="7" borderId="1" xfId="0" applyFont="1" applyFill="1" applyBorder="1" applyAlignment="1">
      <alignment horizontal="centerContinuous"/>
    </xf>
    <xf numFmtId="164" fontId="0" fillId="3" borderId="9" xfId="1" applyFont="1" applyFill="1" applyBorder="1"/>
    <xf numFmtId="166" fontId="0" fillId="3" borderId="13" xfId="4" applyFont="1" applyFill="1" applyBorder="1"/>
    <xf numFmtId="10" fontId="0" fillId="0" borderId="0" xfId="0" applyNumberFormat="1"/>
    <xf numFmtId="166" fontId="0" fillId="3" borderId="8" xfId="4" applyFont="1" applyFill="1" applyBorder="1"/>
    <xf numFmtId="0" fontId="2" fillId="2" borderId="1" xfId="0" applyFont="1" applyFill="1" applyBorder="1" applyAlignment="1">
      <alignment wrapText="1"/>
    </xf>
    <xf numFmtId="165" fontId="0" fillId="12" borderId="1" xfId="0" applyNumberFormat="1" applyFill="1" applyBorder="1"/>
    <xf numFmtId="165" fontId="0" fillId="13" borderId="1" xfId="0" applyNumberFormat="1" applyFill="1" applyBorder="1"/>
    <xf numFmtId="0" fontId="2" fillId="7" borderId="1" xfId="0" applyFont="1" applyFill="1" applyBorder="1" applyAlignment="1">
      <alignment wrapText="1"/>
    </xf>
    <xf numFmtId="10" fontId="0" fillId="0" borderId="0" xfId="2" applyNumberFormat="1" applyFont="1" applyBorder="1"/>
    <xf numFmtId="0" fontId="4" fillId="0" borderId="1" xfId="0" applyFont="1" applyBorder="1" applyAlignment="1">
      <alignment wrapText="1"/>
    </xf>
    <xf numFmtId="0" fontId="1" fillId="2" borderId="1" xfId="0" applyFont="1" applyFill="1" applyBorder="1" applyAlignment="1">
      <alignment wrapText="1"/>
    </xf>
    <xf numFmtId="170" fontId="0" fillId="3" borderId="1" xfId="0" applyNumberFormat="1" applyFill="1" applyBorder="1"/>
    <xf numFmtId="0" fontId="0" fillId="0" borderId="1" xfId="0" applyBorder="1" applyAlignment="1">
      <alignment wrapText="1"/>
    </xf>
    <xf numFmtId="2" fontId="0" fillId="3" borderId="1" xfId="0" applyNumberFormat="1" applyFill="1" applyBorder="1"/>
    <xf numFmtId="2" fontId="0" fillId="3" borderId="9" xfId="0" applyNumberFormat="1" applyFill="1" applyBorder="1"/>
    <xf numFmtId="2" fontId="0" fillId="3" borderId="8" xfId="0" applyNumberFormat="1" applyFill="1" applyBorder="1"/>
    <xf numFmtId="2" fontId="0" fillId="0" borderId="0" xfId="0" applyNumberFormat="1"/>
    <xf numFmtId="173" fontId="0" fillId="0" borderId="0" xfId="0" applyNumberFormat="1"/>
  </cellXfs>
  <cellStyles count="6">
    <cellStyle name="Comma" xfId="1" builtinId="3"/>
    <cellStyle name="Currency" xfId="4" builtinId="4"/>
    <cellStyle name="Normal" xfId="0" builtinId="0"/>
    <cellStyle name="Normal 2" xfId="3" xr:uid="{00000000-0005-0000-0000-000003000000}"/>
    <cellStyle name="Nothing" xfId="5" xr:uid="{00000000-0005-0000-0000-000004000000}"/>
    <cellStyle name="Percent" xfId="2" builtinId="5"/>
  </cellStyles>
  <dxfs count="0"/>
  <tableStyles count="0" defaultTableStyle="TableStyleMedium2" defaultPivotStyle="PivotStyleLight16"/>
  <colors>
    <mruColors>
      <color rgb="FF0000FF"/>
      <color rgb="FFCCFFCC"/>
      <color rgb="FFFFFFCC"/>
      <color rgb="FFC5FF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1863481</xdr:colOff>
      <xdr:row>10</xdr:row>
      <xdr:rowOff>97692</xdr:rowOff>
    </xdr:from>
    <xdr:to>
      <xdr:col>1</xdr:col>
      <xdr:colOff>6210788</xdr:colOff>
      <xdr:row>28</xdr:row>
      <xdr:rowOff>132611</xdr:rowOff>
    </xdr:to>
    <xdr:pic>
      <xdr:nvPicPr>
        <xdr:cNvPr id="2" name="Picture 1">
          <a:extLst>
            <a:ext uri="{FF2B5EF4-FFF2-40B4-BE49-F238E27FC236}">
              <a16:creationId xmlns:a16="http://schemas.microsoft.com/office/drawing/2014/main" id="{CC2B8047-A105-8E4D-B830-1BE85B0F0DE4}"/>
            </a:ext>
          </a:extLst>
        </xdr:cNvPr>
        <xdr:cNvPicPr>
          <a:picLocks noChangeAspect="1"/>
        </xdr:cNvPicPr>
      </xdr:nvPicPr>
      <xdr:blipFill>
        <a:blip xmlns:r="http://schemas.openxmlformats.org/officeDocument/2006/relationships" r:embed="rId1"/>
        <a:stretch>
          <a:fillRect/>
        </a:stretch>
      </xdr:blipFill>
      <xdr:spPr>
        <a:xfrm>
          <a:off x="2456962" y="2002692"/>
          <a:ext cx="4347307" cy="346391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B9"/>
  <sheetViews>
    <sheetView zoomScale="130" zoomScaleNormal="130" workbookViewId="0">
      <selection activeCell="F13" sqref="F13"/>
    </sheetView>
  </sheetViews>
  <sheetFormatPr defaultColWidth="8.85546875" defaultRowHeight="15" x14ac:dyDescent="0.25"/>
  <cols>
    <col min="2" max="2" width="116.42578125" customWidth="1"/>
  </cols>
  <sheetData>
    <row r="1" spans="1:2" x14ac:dyDescent="0.25">
      <c r="A1" s="2"/>
      <c r="B1" s="2"/>
    </row>
    <row r="3" spans="1:2" x14ac:dyDescent="0.25">
      <c r="A3" s="1" t="s">
        <v>0</v>
      </c>
      <c r="B3" s="2"/>
    </row>
    <row r="4" spans="1:2" x14ac:dyDescent="0.25">
      <c r="A4" s="3">
        <v>1</v>
      </c>
      <c r="B4" s="3" t="s">
        <v>1</v>
      </c>
    </row>
    <row r="5" spans="1:2" x14ac:dyDescent="0.25">
      <c r="A5" s="3">
        <v>2</v>
      </c>
      <c r="B5" s="3" t="s">
        <v>2</v>
      </c>
    </row>
    <row r="6" spans="1:2" x14ac:dyDescent="0.25">
      <c r="A6" s="3">
        <v>3</v>
      </c>
      <c r="B6" s="3" t="s">
        <v>3</v>
      </c>
    </row>
    <row r="7" spans="1:2" x14ac:dyDescent="0.25">
      <c r="A7" s="3">
        <v>4</v>
      </c>
      <c r="B7" s="3" t="s">
        <v>4</v>
      </c>
    </row>
    <row r="8" spans="1:2" x14ac:dyDescent="0.25">
      <c r="A8" s="3">
        <v>5</v>
      </c>
      <c r="B8" s="3" t="s">
        <v>19</v>
      </c>
    </row>
    <row r="9" spans="1:2" x14ac:dyDescent="0.25">
      <c r="A9" s="3">
        <v>6</v>
      </c>
      <c r="B9" s="3" t="s">
        <v>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00FF"/>
  </sheetPr>
  <dimension ref="A1:H15"/>
  <sheetViews>
    <sheetView zoomScaleNormal="100" workbookViewId="0">
      <selection activeCell="F5" sqref="F5:H10"/>
    </sheetView>
  </sheetViews>
  <sheetFormatPr defaultColWidth="10.28515625" defaultRowHeight="15" x14ac:dyDescent="0.25"/>
  <cols>
    <col min="2" max="2" width="15.140625" bestFit="1" customWidth="1"/>
    <col min="3" max="3" width="13.85546875" bestFit="1" customWidth="1"/>
    <col min="4" max="4" width="12.28515625" bestFit="1" customWidth="1"/>
    <col min="5" max="5" width="13.85546875" bestFit="1" customWidth="1"/>
  </cols>
  <sheetData>
    <row r="1" spans="1:8" ht="105" x14ac:dyDescent="0.25">
      <c r="B1" s="20" t="s">
        <v>29</v>
      </c>
      <c r="C1" s="20"/>
      <c r="D1" s="20"/>
      <c r="E1" s="20"/>
    </row>
    <row r="3" spans="1:8" x14ac:dyDescent="0.25">
      <c r="B3" s="21"/>
      <c r="C3" s="22" t="s">
        <v>30</v>
      </c>
      <c r="D3" s="22"/>
      <c r="E3" s="22"/>
      <c r="F3" s="21"/>
      <c r="G3" s="21"/>
      <c r="H3" s="21"/>
    </row>
    <row r="4" spans="1:8" x14ac:dyDescent="0.25">
      <c r="A4" s="23" t="s">
        <v>31</v>
      </c>
      <c r="B4" s="23" t="s">
        <v>14</v>
      </c>
      <c r="C4" s="24">
        <f>C14</f>
        <v>0.45</v>
      </c>
      <c r="D4" s="24">
        <f>C4+$C15</f>
        <v>0.5</v>
      </c>
      <c r="E4" s="24">
        <f>D4+$C15</f>
        <v>0.55000000000000004</v>
      </c>
      <c r="F4" s="25" t="s">
        <v>32</v>
      </c>
      <c r="G4" s="25" t="s">
        <v>32</v>
      </c>
      <c r="H4" s="25" t="s">
        <v>32</v>
      </c>
    </row>
    <row r="5" spans="1:8" x14ac:dyDescent="0.25">
      <c r="A5" s="26">
        <v>598</v>
      </c>
      <c r="B5" s="27" t="s">
        <v>15</v>
      </c>
      <c r="C5" s="28">
        <f>$A5/(1-C$4)</f>
        <v>1087.2727272727273</v>
      </c>
      <c r="D5" s="28">
        <f t="shared" ref="D5:E5" si="0">$A5/(1-D$4)</f>
        <v>1196</v>
      </c>
      <c r="E5" s="28">
        <f t="shared" si="0"/>
        <v>1328.8888888888889</v>
      </c>
      <c r="F5" s="29">
        <f>C5*$C$13</f>
        <v>1141.6363636363637</v>
      </c>
      <c r="G5" s="29">
        <f t="shared" ref="G5:H10" si="1">D5*$C$13</f>
        <v>1255.8</v>
      </c>
      <c r="H5" s="29">
        <f t="shared" si="1"/>
        <v>1395.3333333333335</v>
      </c>
    </row>
    <row r="6" spans="1:8" x14ac:dyDescent="0.25">
      <c r="A6" s="26">
        <v>85</v>
      </c>
      <c r="B6" s="27" t="s">
        <v>33</v>
      </c>
      <c r="C6" s="28">
        <f t="shared" ref="C6:E10" si="2">$A6/(1-C$4)</f>
        <v>154.54545454545453</v>
      </c>
      <c r="D6" s="28">
        <f t="shared" si="2"/>
        <v>170</v>
      </c>
      <c r="E6" s="28">
        <f t="shared" si="2"/>
        <v>188.88888888888891</v>
      </c>
      <c r="F6" s="29">
        <f t="shared" ref="F6:F10" si="3">C6*$C$13</f>
        <v>162.27272727272725</v>
      </c>
      <c r="G6" s="29">
        <f t="shared" si="1"/>
        <v>178.5</v>
      </c>
      <c r="H6" s="29">
        <f t="shared" si="1"/>
        <v>198.33333333333337</v>
      </c>
    </row>
    <row r="7" spans="1:8" x14ac:dyDescent="0.25">
      <c r="A7" s="26">
        <v>152</v>
      </c>
      <c r="B7" s="27" t="s">
        <v>34</v>
      </c>
      <c r="C7" s="28">
        <f t="shared" si="2"/>
        <v>276.36363636363632</v>
      </c>
      <c r="D7" s="28">
        <f t="shared" si="2"/>
        <v>304</v>
      </c>
      <c r="E7" s="28">
        <f t="shared" si="2"/>
        <v>337.77777777777783</v>
      </c>
      <c r="F7" s="29">
        <f t="shared" si="3"/>
        <v>290.18181818181813</v>
      </c>
      <c r="G7" s="29">
        <f t="shared" si="1"/>
        <v>319.2</v>
      </c>
      <c r="H7" s="29">
        <f t="shared" si="1"/>
        <v>354.66666666666674</v>
      </c>
    </row>
    <row r="8" spans="1:8" x14ac:dyDescent="0.25">
      <c r="A8" s="26">
        <v>99</v>
      </c>
      <c r="B8" s="27" t="s">
        <v>16</v>
      </c>
      <c r="C8" s="28">
        <f t="shared" si="2"/>
        <v>179.99999999999997</v>
      </c>
      <c r="D8" s="28">
        <f t="shared" si="2"/>
        <v>198</v>
      </c>
      <c r="E8" s="28">
        <f t="shared" si="2"/>
        <v>220.00000000000003</v>
      </c>
      <c r="F8" s="29">
        <f t="shared" si="3"/>
        <v>188.99999999999997</v>
      </c>
      <c r="G8" s="29">
        <f t="shared" si="1"/>
        <v>207.9</v>
      </c>
      <c r="H8" s="29">
        <f t="shared" si="1"/>
        <v>231.00000000000003</v>
      </c>
    </row>
    <row r="9" spans="1:8" x14ac:dyDescent="0.25">
      <c r="A9" s="26">
        <v>575</v>
      </c>
      <c r="B9" s="27" t="s">
        <v>35</v>
      </c>
      <c r="C9" s="28">
        <f t="shared" si="2"/>
        <v>1045.4545454545453</v>
      </c>
      <c r="D9" s="28">
        <f t="shared" si="2"/>
        <v>1150</v>
      </c>
      <c r="E9" s="28">
        <f t="shared" si="2"/>
        <v>1277.7777777777778</v>
      </c>
      <c r="F9" s="29">
        <f t="shared" si="3"/>
        <v>1097.7272727272725</v>
      </c>
      <c r="G9" s="29">
        <f t="shared" si="1"/>
        <v>1207.5</v>
      </c>
      <c r="H9" s="29">
        <f t="shared" si="1"/>
        <v>1341.6666666666667</v>
      </c>
    </row>
    <row r="10" spans="1:8" x14ac:dyDescent="0.25">
      <c r="A10" s="26">
        <v>25</v>
      </c>
      <c r="B10" s="27" t="s">
        <v>17</v>
      </c>
      <c r="C10" s="28">
        <f t="shared" si="2"/>
        <v>45.454545454545453</v>
      </c>
      <c r="D10" s="28">
        <f t="shared" si="2"/>
        <v>50</v>
      </c>
      <c r="E10" s="28">
        <f t="shared" si="2"/>
        <v>55.555555555555564</v>
      </c>
      <c r="F10" s="29">
        <f t="shared" si="3"/>
        <v>47.727272727272727</v>
      </c>
      <c r="G10" s="29">
        <f t="shared" si="1"/>
        <v>52.5</v>
      </c>
      <c r="H10" s="29">
        <f t="shared" si="1"/>
        <v>58.333333333333343</v>
      </c>
    </row>
    <row r="11" spans="1:8" x14ac:dyDescent="0.25">
      <c r="B11" s="21"/>
      <c r="C11" s="21"/>
      <c r="D11" s="21"/>
    </row>
    <row r="12" spans="1:8" x14ac:dyDescent="0.25">
      <c r="B12" s="31" t="s">
        <v>36</v>
      </c>
      <c r="C12" s="31"/>
    </row>
    <row r="13" spans="1:8" x14ac:dyDescent="0.25">
      <c r="B13" s="27" t="s">
        <v>37</v>
      </c>
      <c r="C13" s="3">
        <v>1.05</v>
      </c>
      <c r="D13" s="21"/>
    </row>
    <row r="14" spans="1:8" ht="39" x14ac:dyDescent="0.25">
      <c r="B14" s="32" t="str">
        <f>C3&amp;" Starting Point"</f>
        <v>Retail Selling Price by Margin Starting Point</v>
      </c>
      <c r="C14" s="33">
        <v>0.45</v>
      </c>
      <c r="D14" s="21"/>
    </row>
    <row r="15" spans="1:8" x14ac:dyDescent="0.25">
      <c r="B15" s="27" t="s">
        <v>18</v>
      </c>
      <c r="C15" s="34">
        <v>0.05</v>
      </c>
      <c r="D15" s="21"/>
      <c r="E15" s="21"/>
      <c r="F15" s="21"/>
      <c r="G15" s="21"/>
      <c r="H15" s="2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H15"/>
  <sheetViews>
    <sheetView zoomScale="130" zoomScaleNormal="130" workbookViewId="0">
      <selection activeCell="R1" sqref="R1"/>
    </sheetView>
  </sheetViews>
  <sheetFormatPr defaultColWidth="10.28515625" defaultRowHeight="15" x14ac:dyDescent="0.25"/>
  <cols>
    <col min="2" max="2" width="15.140625" bestFit="1" customWidth="1"/>
    <col min="3" max="3" width="13.85546875" bestFit="1" customWidth="1"/>
    <col min="4" max="4" width="12.28515625" bestFit="1" customWidth="1"/>
    <col min="5" max="5" width="13.85546875" bestFit="1" customWidth="1"/>
  </cols>
  <sheetData>
    <row r="1" spans="1:8" ht="105" x14ac:dyDescent="0.25">
      <c r="B1" s="20" t="s">
        <v>29</v>
      </c>
      <c r="C1" s="20"/>
      <c r="D1" s="20"/>
      <c r="E1" s="20"/>
    </row>
    <row r="3" spans="1:8" x14ac:dyDescent="0.25">
      <c r="B3" s="21"/>
      <c r="C3" s="22" t="s">
        <v>30</v>
      </c>
      <c r="D3" s="22"/>
      <c r="E3" s="22"/>
      <c r="F3" s="21"/>
      <c r="G3" s="21"/>
      <c r="H3" s="21"/>
    </row>
    <row r="4" spans="1:8" x14ac:dyDescent="0.25">
      <c r="A4" s="23" t="s">
        <v>31</v>
      </c>
      <c r="B4" s="23" t="s">
        <v>14</v>
      </c>
      <c r="C4" s="24">
        <f>C14</f>
        <v>0.45</v>
      </c>
      <c r="D4" s="24">
        <f>C4+$C15</f>
        <v>0.5</v>
      </c>
      <c r="E4" s="24">
        <f>D4+$C15</f>
        <v>0.55000000000000004</v>
      </c>
      <c r="F4" s="25" t="s">
        <v>32</v>
      </c>
      <c r="G4" s="25" t="s">
        <v>32</v>
      </c>
      <c r="H4" s="25" t="s">
        <v>32</v>
      </c>
    </row>
    <row r="5" spans="1:8" x14ac:dyDescent="0.25">
      <c r="A5" s="26">
        <v>598</v>
      </c>
      <c r="B5" s="27" t="s">
        <v>15</v>
      </c>
      <c r="C5" s="28">
        <f t="shared" ref="C5:E10" si="0">$A5/(1-C$4)</f>
        <v>1087.2727272727273</v>
      </c>
      <c r="D5" s="28">
        <f t="shared" si="0"/>
        <v>1196</v>
      </c>
      <c r="E5" s="28">
        <f t="shared" si="0"/>
        <v>1328.8888888888889</v>
      </c>
      <c r="F5" s="29">
        <f>C5*$C$13</f>
        <v>1196</v>
      </c>
      <c r="G5" s="29">
        <f t="shared" ref="G5:H10" si="1">D5*$C$13</f>
        <v>1315.6000000000001</v>
      </c>
      <c r="H5" s="29">
        <f t="shared" si="1"/>
        <v>1461.7777777777778</v>
      </c>
    </row>
    <row r="6" spans="1:8" x14ac:dyDescent="0.25">
      <c r="A6" s="26">
        <v>85</v>
      </c>
      <c r="B6" s="27" t="s">
        <v>33</v>
      </c>
      <c r="C6" s="30">
        <f t="shared" si="0"/>
        <v>154.54545454545453</v>
      </c>
      <c r="D6" s="30">
        <f t="shared" si="0"/>
        <v>170</v>
      </c>
      <c r="E6" s="30">
        <f t="shared" si="0"/>
        <v>188.88888888888891</v>
      </c>
      <c r="F6" s="29">
        <f t="shared" ref="F6:F10" si="2">C6*$C$13</f>
        <v>170</v>
      </c>
      <c r="G6" s="29">
        <f t="shared" si="1"/>
        <v>187.00000000000003</v>
      </c>
      <c r="H6" s="29">
        <f t="shared" si="1"/>
        <v>207.77777777777783</v>
      </c>
    </row>
    <row r="7" spans="1:8" x14ac:dyDescent="0.25">
      <c r="A7" s="26">
        <v>152</v>
      </c>
      <c r="B7" s="27" t="s">
        <v>34</v>
      </c>
      <c r="C7" s="30">
        <f t="shared" si="0"/>
        <v>276.36363636363632</v>
      </c>
      <c r="D7" s="30">
        <f t="shared" si="0"/>
        <v>304</v>
      </c>
      <c r="E7" s="30">
        <f t="shared" si="0"/>
        <v>337.77777777777783</v>
      </c>
      <c r="F7" s="29">
        <f t="shared" si="2"/>
        <v>304</v>
      </c>
      <c r="G7" s="29">
        <f t="shared" si="1"/>
        <v>334.40000000000003</v>
      </c>
      <c r="H7" s="29">
        <f t="shared" si="1"/>
        <v>371.55555555555566</v>
      </c>
    </row>
    <row r="8" spans="1:8" x14ac:dyDescent="0.25">
      <c r="A8" s="26">
        <v>99</v>
      </c>
      <c r="B8" s="27" t="s">
        <v>16</v>
      </c>
      <c r="C8" s="30">
        <f t="shared" si="0"/>
        <v>179.99999999999997</v>
      </c>
      <c r="D8" s="30">
        <f t="shared" si="0"/>
        <v>198</v>
      </c>
      <c r="E8" s="30">
        <f t="shared" si="0"/>
        <v>220.00000000000003</v>
      </c>
      <c r="F8" s="29">
        <f t="shared" si="2"/>
        <v>197.99999999999997</v>
      </c>
      <c r="G8" s="29">
        <f t="shared" si="1"/>
        <v>217.8</v>
      </c>
      <c r="H8" s="29">
        <f t="shared" si="1"/>
        <v>242.00000000000006</v>
      </c>
    </row>
    <row r="9" spans="1:8" x14ac:dyDescent="0.25">
      <c r="A9" s="26">
        <v>575</v>
      </c>
      <c r="B9" s="27" t="s">
        <v>35</v>
      </c>
      <c r="C9" s="30">
        <f t="shared" si="0"/>
        <v>1045.4545454545453</v>
      </c>
      <c r="D9" s="30">
        <f t="shared" si="0"/>
        <v>1150</v>
      </c>
      <c r="E9" s="30">
        <f t="shared" si="0"/>
        <v>1277.7777777777778</v>
      </c>
      <c r="F9" s="29">
        <f t="shared" si="2"/>
        <v>1150</v>
      </c>
      <c r="G9" s="29">
        <f t="shared" si="1"/>
        <v>1265</v>
      </c>
      <c r="H9" s="29">
        <f t="shared" si="1"/>
        <v>1405.5555555555557</v>
      </c>
    </row>
    <row r="10" spans="1:8" x14ac:dyDescent="0.25">
      <c r="A10" s="26">
        <v>25</v>
      </c>
      <c r="B10" s="27" t="s">
        <v>17</v>
      </c>
      <c r="C10" s="30">
        <f t="shared" si="0"/>
        <v>45.454545454545453</v>
      </c>
      <c r="D10" s="30">
        <f t="shared" si="0"/>
        <v>50</v>
      </c>
      <c r="E10" s="30">
        <f t="shared" si="0"/>
        <v>55.555555555555564</v>
      </c>
      <c r="F10" s="29">
        <f t="shared" si="2"/>
        <v>50</v>
      </c>
      <c r="G10" s="29">
        <f t="shared" si="1"/>
        <v>55.000000000000007</v>
      </c>
      <c r="H10" s="29">
        <f t="shared" si="1"/>
        <v>61.111111111111128</v>
      </c>
    </row>
    <row r="11" spans="1:8" x14ac:dyDescent="0.25">
      <c r="B11" s="21"/>
      <c r="C11" s="21"/>
      <c r="D11" s="21"/>
    </row>
    <row r="12" spans="1:8" x14ac:dyDescent="0.25">
      <c r="B12" s="31" t="s">
        <v>36</v>
      </c>
      <c r="C12" s="31"/>
    </row>
    <row r="13" spans="1:8" x14ac:dyDescent="0.25">
      <c r="B13" s="27" t="s">
        <v>37</v>
      </c>
      <c r="C13" s="3">
        <v>1.1000000000000001</v>
      </c>
      <c r="D13" s="21"/>
    </row>
    <row r="14" spans="1:8" ht="39" x14ac:dyDescent="0.25">
      <c r="B14" s="32" t="str">
        <f>C3&amp;" Starting Point"</f>
        <v>Retail Selling Price by Margin Starting Point</v>
      </c>
      <c r="C14" s="33">
        <v>0.45</v>
      </c>
      <c r="D14" s="21"/>
    </row>
    <row r="15" spans="1:8" x14ac:dyDescent="0.25">
      <c r="B15" s="27" t="s">
        <v>18</v>
      </c>
      <c r="C15" s="34">
        <v>0.05</v>
      </c>
      <c r="D15" s="21"/>
      <c r="E15" s="21"/>
      <c r="F15" s="21"/>
      <c r="G15" s="21"/>
      <c r="H15" s="2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K22"/>
  <sheetViews>
    <sheetView zoomScale="145" zoomScaleNormal="145" workbookViewId="0">
      <selection activeCell="H23" sqref="H23"/>
    </sheetView>
  </sheetViews>
  <sheetFormatPr defaultColWidth="10.28515625" defaultRowHeight="15" x14ac:dyDescent="0.25"/>
  <cols>
    <col min="1" max="1" width="16.7109375" customWidth="1"/>
    <col min="2" max="2" width="13.85546875" bestFit="1" customWidth="1"/>
    <col min="3" max="3" width="12.28515625" bestFit="1" customWidth="1"/>
    <col min="4" max="11" width="17" customWidth="1"/>
    <col min="12" max="13" width="16.28515625" customWidth="1"/>
    <col min="14" max="15" width="12.28515625" customWidth="1"/>
    <col min="16" max="18" width="9" customWidth="1"/>
    <col min="19" max="19" width="12.42578125" bestFit="1" customWidth="1"/>
    <col min="20" max="23" width="9" customWidth="1"/>
    <col min="24" max="24" width="10.7109375" customWidth="1"/>
    <col min="25" max="28" width="9" customWidth="1"/>
    <col min="29" max="29" width="12" customWidth="1"/>
    <col min="30" max="32" width="10.7109375" customWidth="1"/>
    <col min="33" max="33" width="10.7109375" bestFit="1" customWidth="1"/>
    <col min="34" max="34" width="14.28515625" bestFit="1" customWidth="1"/>
    <col min="35" max="35" width="11.42578125" bestFit="1" customWidth="1"/>
  </cols>
  <sheetData>
    <row r="1" spans="1:11" ht="30" x14ac:dyDescent="0.25">
      <c r="A1" s="35" t="s">
        <v>38</v>
      </c>
      <c r="B1" s="36"/>
      <c r="C1" s="36"/>
      <c r="D1" s="36"/>
      <c r="E1" s="36"/>
      <c r="F1" s="36"/>
      <c r="G1" s="36"/>
      <c r="H1" s="37"/>
    </row>
    <row r="3" spans="1:11" x14ac:dyDescent="0.25">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8" t="str">
        <f t="shared" si="0"/>
        <v>Expense 7</v>
      </c>
      <c r="K3" s="1" t="s">
        <v>21</v>
      </c>
    </row>
    <row r="4" spans="1:11" x14ac:dyDescent="0.25">
      <c r="B4" s="3" t="s">
        <v>8</v>
      </c>
      <c r="C4" s="26">
        <v>5000</v>
      </c>
      <c r="D4" s="6">
        <f>D$17*$C4</f>
        <v>664</v>
      </c>
      <c r="E4" s="6">
        <f t="shared" ref="E4:J4" si="1">E$17*$C4</f>
        <v>1463.5</v>
      </c>
      <c r="F4" s="6">
        <f t="shared" si="1"/>
        <v>1198.5</v>
      </c>
      <c r="G4" s="6">
        <f t="shared" si="1"/>
        <v>977.5</v>
      </c>
      <c r="H4" s="6">
        <f t="shared" si="1"/>
        <v>607.5</v>
      </c>
      <c r="I4" s="6">
        <f t="shared" si="1"/>
        <v>706</v>
      </c>
      <c r="J4" s="6">
        <f t="shared" si="1"/>
        <v>354</v>
      </c>
      <c r="K4" s="40">
        <f t="shared" ref="K4:K13" si="2">SUM(D4:J4)</f>
        <v>5971</v>
      </c>
    </row>
    <row r="5" spans="1:11" x14ac:dyDescent="0.25">
      <c r="B5" s="3" t="s">
        <v>9</v>
      </c>
      <c r="C5" s="26">
        <v>6000</v>
      </c>
      <c r="D5" s="6">
        <f t="shared" ref="D5:J12" si="3">D$17*$C5</f>
        <v>796.8</v>
      </c>
      <c r="E5" s="6">
        <f t="shared" si="3"/>
        <v>1756.2</v>
      </c>
      <c r="F5" s="6">
        <f t="shared" si="3"/>
        <v>1438.2</v>
      </c>
      <c r="G5" s="6">
        <f t="shared" si="3"/>
        <v>1173</v>
      </c>
      <c r="H5" s="6">
        <f t="shared" si="3"/>
        <v>729</v>
      </c>
      <c r="I5" s="6">
        <f t="shared" si="3"/>
        <v>847.19999999999993</v>
      </c>
      <c r="J5" s="6">
        <f t="shared" si="3"/>
        <v>424.8</v>
      </c>
      <c r="K5" s="40">
        <f t="shared" si="2"/>
        <v>7165.2</v>
      </c>
    </row>
    <row r="6" spans="1:11" x14ac:dyDescent="0.25">
      <c r="B6" s="3" t="s">
        <v>10</v>
      </c>
      <c r="C6" s="26">
        <v>7500</v>
      </c>
      <c r="D6" s="6">
        <f t="shared" si="3"/>
        <v>996</v>
      </c>
      <c r="E6" s="6">
        <f t="shared" si="3"/>
        <v>2195.25</v>
      </c>
      <c r="F6" s="6">
        <f t="shared" si="3"/>
        <v>1797.75</v>
      </c>
      <c r="G6" s="6">
        <f t="shared" si="3"/>
        <v>1466.25</v>
      </c>
      <c r="H6" s="6">
        <f t="shared" si="3"/>
        <v>911.25</v>
      </c>
      <c r="I6" s="6">
        <f t="shared" si="3"/>
        <v>1059</v>
      </c>
      <c r="J6" s="6">
        <f t="shared" si="3"/>
        <v>531</v>
      </c>
      <c r="K6" s="40">
        <f t="shared" si="2"/>
        <v>8956.5</v>
      </c>
    </row>
    <row r="7" spans="1:11" x14ac:dyDescent="0.25">
      <c r="B7" s="3" t="s">
        <v>11</v>
      </c>
      <c r="C7" s="26">
        <v>8000</v>
      </c>
      <c r="D7" s="6">
        <f t="shared" si="3"/>
        <v>1062.4000000000001</v>
      </c>
      <c r="E7" s="6">
        <f t="shared" si="3"/>
        <v>2341.6</v>
      </c>
      <c r="F7" s="6">
        <f t="shared" si="3"/>
        <v>1917.6</v>
      </c>
      <c r="G7" s="6">
        <f t="shared" si="3"/>
        <v>1564</v>
      </c>
      <c r="H7" s="6">
        <f t="shared" si="3"/>
        <v>972</v>
      </c>
      <c r="I7" s="6">
        <f t="shared" si="3"/>
        <v>1129.5999999999999</v>
      </c>
      <c r="J7" s="6">
        <f t="shared" si="3"/>
        <v>566.4</v>
      </c>
      <c r="K7" s="40">
        <f t="shared" si="2"/>
        <v>9553.6</v>
      </c>
    </row>
    <row r="8" spans="1:11" x14ac:dyDescent="0.25">
      <c r="B8" s="3" t="s">
        <v>12</v>
      </c>
      <c r="C8" s="26">
        <v>8000</v>
      </c>
      <c r="D8" s="6">
        <f t="shared" si="3"/>
        <v>1062.4000000000001</v>
      </c>
      <c r="E8" s="6">
        <f t="shared" si="3"/>
        <v>2341.6</v>
      </c>
      <c r="F8" s="6">
        <f t="shared" si="3"/>
        <v>1917.6</v>
      </c>
      <c r="G8" s="6">
        <f t="shared" si="3"/>
        <v>1564</v>
      </c>
      <c r="H8" s="6">
        <f t="shared" si="3"/>
        <v>972</v>
      </c>
      <c r="I8" s="6">
        <f t="shared" si="3"/>
        <v>1129.5999999999999</v>
      </c>
      <c r="J8" s="6">
        <f t="shared" si="3"/>
        <v>566.4</v>
      </c>
      <c r="K8" s="40">
        <f t="shared" si="2"/>
        <v>9553.6</v>
      </c>
    </row>
    <row r="9" spans="1:11" x14ac:dyDescent="0.25">
      <c r="B9" s="3" t="s">
        <v>20</v>
      </c>
      <c r="C9" s="26">
        <v>8000</v>
      </c>
      <c r="D9" s="6">
        <f t="shared" si="3"/>
        <v>1062.4000000000001</v>
      </c>
      <c r="E9" s="6">
        <f t="shared" si="3"/>
        <v>2341.6</v>
      </c>
      <c r="F9" s="6">
        <f t="shared" si="3"/>
        <v>1917.6</v>
      </c>
      <c r="G9" s="6">
        <f t="shared" si="3"/>
        <v>1564</v>
      </c>
      <c r="H9" s="6">
        <f t="shared" si="3"/>
        <v>972</v>
      </c>
      <c r="I9" s="6">
        <f t="shared" si="3"/>
        <v>1129.5999999999999</v>
      </c>
      <c r="J9" s="6">
        <f t="shared" si="3"/>
        <v>566.4</v>
      </c>
      <c r="K9" s="40">
        <f t="shared" si="2"/>
        <v>9553.6</v>
      </c>
    </row>
    <row r="10" spans="1:11" x14ac:dyDescent="0.25">
      <c r="B10" s="3" t="s">
        <v>40</v>
      </c>
      <c r="C10" s="26">
        <v>10000</v>
      </c>
      <c r="D10" s="6">
        <f t="shared" si="3"/>
        <v>1328</v>
      </c>
      <c r="E10" s="6">
        <f t="shared" si="3"/>
        <v>2927</v>
      </c>
      <c r="F10" s="6">
        <f t="shared" si="3"/>
        <v>2397</v>
      </c>
      <c r="G10" s="6">
        <f t="shared" si="3"/>
        <v>1955</v>
      </c>
      <c r="H10" s="6">
        <f t="shared" si="3"/>
        <v>1215</v>
      </c>
      <c r="I10" s="6">
        <f t="shared" si="3"/>
        <v>1412</v>
      </c>
      <c r="J10" s="6">
        <f t="shared" si="3"/>
        <v>708</v>
      </c>
      <c r="K10" s="40">
        <f t="shared" si="2"/>
        <v>11942</v>
      </c>
    </row>
    <row r="11" spans="1:11" x14ac:dyDescent="0.25">
      <c r="B11" s="3" t="s">
        <v>41</v>
      </c>
      <c r="C11" s="26">
        <v>11000</v>
      </c>
      <c r="D11" s="6">
        <f t="shared" si="3"/>
        <v>1460.8</v>
      </c>
      <c r="E11" s="6">
        <f t="shared" si="3"/>
        <v>3219.7000000000003</v>
      </c>
      <c r="F11" s="6">
        <f t="shared" si="3"/>
        <v>2636.7</v>
      </c>
      <c r="G11" s="6">
        <f t="shared" si="3"/>
        <v>2150.5</v>
      </c>
      <c r="H11" s="6">
        <f t="shared" si="3"/>
        <v>1336.5</v>
      </c>
      <c r="I11" s="6">
        <f t="shared" si="3"/>
        <v>1553.1999999999998</v>
      </c>
      <c r="J11" s="6">
        <f t="shared" si="3"/>
        <v>778.80000000000007</v>
      </c>
      <c r="K11" s="40">
        <f t="shared" si="2"/>
        <v>13136.2</v>
      </c>
    </row>
    <row r="12" spans="1:11" ht="15.75" thickBot="1" x14ac:dyDescent="0.3">
      <c r="B12" s="3" t="s">
        <v>42</v>
      </c>
      <c r="C12" s="41">
        <v>15000</v>
      </c>
      <c r="D12" s="6">
        <f t="shared" si="3"/>
        <v>1992</v>
      </c>
      <c r="E12" s="6">
        <f t="shared" si="3"/>
        <v>4390.5</v>
      </c>
      <c r="F12" s="6">
        <f t="shared" si="3"/>
        <v>3595.5</v>
      </c>
      <c r="G12" s="6">
        <f t="shared" si="3"/>
        <v>2932.5</v>
      </c>
      <c r="H12" s="6">
        <f t="shared" si="3"/>
        <v>1822.5</v>
      </c>
      <c r="I12" s="6">
        <f t="shared" si="3"/>
        <v>2118</v>
      </c>
      <c r="J12" s="6">
        <f t="shared" si="3"/>
        <v>1062</v>
      </c>
      <c r="K12" s="44">
        <f t="shared" si="2"/>
        <v>17913</v>
      </c>
    </row>
    <row r="13" spans="1:11" ht="15.75" thickBot="1" x14ac:dyDescent="0.3">
      <c r="C13" s="45" t="s">
        <v>21</v>
      </c>
      <c r="D13" s="46">
        <f t="shared" ref="D13:J13" si="4">SUM(D4:D12)</f>
        <v>10424.799999999999</v>
      </c>
      <c r="E13" s="46">
        <f t="shared" si="4"/>
        <v>22976.95</v>
      </c>
      <c r="F13" s="46">
        <f t="shared" si="4"/>
        <v>18816.45</v>
      </c>
      <c r="G13" s="46">
        <f t="shared" si="4"/>
        <v>15346.75</v>
      </c>
      <c r="H13" s="46">
        <f t="shared" si="4"/>
        <v>9537.75</v>
      </c>
      <c r="I13" s="46">
        <f t="shared" si="4"/>
        <v>11084.2</v>
      </c>
      <c r="J13" s="46">
        <f t="shared" si="4"/>
        <v>5557.8</v>
      </c>
      <c r="K13" s="46">
        <f t="shared" si="2"/>
        <v>93744.7</v>
      </c>
    </row>
    <row r="14" spans="1:11" ht="15.75" thickTop="1" x14ac:dyDescent="0.25"/>
    <row r="15" spans="1:11" x14ac:dyDescent="0.25">
      <c r="A15" s="16" t="s">
        <v>43</v>
      </c>
      <c r="B15" s="16"/>
      <c r="D15" s="16" t="s">
        <v>43</v>
      </c>
      <c r="E15" s="16"/>
      <c r="F15" s="16"/>
      <c r="G15" s="16"/>
      <c r="H15" s="16"/>
      <c r="I15" s="16"/>
      <c r="J15" s="16"/>
    </row>
    <row r="16" spans="1:11" x14ac:dyDescent="0.25">
      <c r="A16" s="1" t="s">
        <v>44</v>
      </c>
      <c r="B16" s="17">
        <v>0.1328</v>
      </c>
      <c r="D16" s="1" t="s">
        <v>44</v>
      </c>
      <c r="E16" s="1" t="s">
        <v>45</v>
      </c>
      <c r="F16" s="1" t="s">
        <v>46</v>
      </c>
      <c r="G16" s="1" t="s">
        <v>47</v>
      </c>
      <c r="H16" s="1" t="s">
        <v>48</v>
      </c>
      <c r="I16" s="1" t="s">
        <v>49</v>
      </c>
      <c r="J16" s="1" t="s">
        <v>50</v>
      </c>
    </row>
    <row r="17" spans="1:10" x14ac:dyDescent="0.25">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25">
      <c r="A18" s="1" t="s">
        <v>46</v>
      </c>
      <c r="B18" s="17">
        <v>0.2397</v>
      </c>
    </row>
    <row r="19" spans="1:10" x14ac:dyDescent="0.25">
      <c r="A19" s="1" t="s">
        <v>47</v>
      </c>
      <c r="B19" s="17">
        <v>0.19550000000000001</v>
      </c>
    </row>
    <row r="20" spans="1:10" x14ac:dyDescent="0.25">
      <c r="A20" s="1" t="s">
        <v>48</v>
      </c>
      <c r="B20" s="17">
        <v>0.1215</v>
      </c>
    </row>
    <row r="21" spans="1:10" x14ac:dyDescent="0.25">
      <c r="A21" s="1" t="s">
        <v>49</v>
      </c>
      <c r="B21" s="17">
        <v>0.14119999999999999</v>
      </c>
    </row>
    <row r="22" spans="1:10" x14ac:dyDescent="0.25">
      <c r="A22" s="1" t="s">
        <v>50</v>
      </c>
      <c r="B22" s="17">
        <v>7.0800000000000002E-2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0000"/>
  </sheetPr>
  <dimension ref="A1:K22"/>
  <sheetViews>
    <sheetView workbookViewId="0">
      <selection activeCell="D4" sqref="D4"/>
    </sheetView>
  </sheetViews>
  <sheetFormatPr defaultColWidth="10.28515625" defaultRowHeight="15" x14ac:dyDescent="0.25"/>
  <cols>
    <col min="1" max="1" width="16.7109375" customWidth="1"/>
    <col min="2" max="2" width="13.85546875" bestFit="1" customWidth="1"/>
    <col min="3" max="3" width="12.28515625" bestFit="1" customWidth="1"/>
    <col min="4" max="11" width="17" customWidth="1"/>
    <col min="12" max="13" width="16.28515625" customWidth="1"/>
    <col min="14" max="15" width="12.28515625" customWidth="1"/>
    <col min="16" max="18" width="9" customWidth="1"/>
    <col min="19" max="19" width="12.42578125" bestFit="1" customWidth="1"/>
    <col min="20" max="23" width="9" customWidth="1"/>
    <col min="24" max="24" width="10.7109375" customWidth="1"/>
    <col min="25" max="28" width="9" customWidth="1"/>
    <col min="29" max="29" width="12" customWidth="1"/>
    <col min="30" max="32" width="10.7109375" customWidth="1"/>
    <col min="33" max="33" width="10.7109375" bestFit="1" customWidth="1"/>
    <col min="34" max="34" width="14.28515625" bestFit="1" customWidth="1"/>
    <col min="35" max="35" width="11.42578125" bestFit="1" customWidth="1"/>
  </cols>
  <sheetData>
    <row r="1" spans="1:11" ht="30" x14ac:dyDescent="0.25">
      <c r="A1" s="35" t="s">
        <v>38</v>
      </c>
      <c r="B1" s="36"/>
      <c r="C1" s="36"/>
      <c r="D1" s="36"/>
      <c r="E1" s="36"/>
      <c r="F1" s="36"/>
      <c r="G1" s="36"/>
      <c r="H1" s="37"/>
    </row>
    <row r="3" spans="1:11" x14ac:dyDescent="0.25">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8" t="str">
        <f t="shared" si="0"/>
        <v>Expense 7</v>
      </c>
      <c r="K3" s="1" t="s">
        <v>21</v>
      </c>
    </row>
    <row r="4" spans="1:11" x14ac:dyDescent="0.25">
      <c r="B4" s="3" t="s">
        <v>8</v>
      </c>
      <c r="C4" s="26">
        <v>5000</v>
      </c>
      <c r="D4" s="6">
        <f t="shared" ref="D4:J12" si="1">ROUND($C4*D$17,2)</f>
        <v>664</v>
      </c>
      <c r="E4" s="6">
        <f t="shared" si="1"/>
        <v>1463.5</v>
      </c>
      <c r="F4" s="6">
        <f t="shared" si="1"/>
        <v>1198.5</v>
      </c>
      <c r="G4" s="6">
        <f t="shared" si="1"/>
        <v>977.5</v>
      </c>
      <c r="H4" s="6">
        <f t="shared" si="1"/>
        <v>607.5</v>
      </c>
      <c r="I4" s="6">
        <f t="shared" si="1"/>
        <v>706</v>
      </c>
      <c r="J4" s="39">
        <f t="shared" si="1"/>
        <v>354</v>
      </c>
      <c r="K4" s="40">
        <f t="shared" ref="K4:K13" si="2">SUM(D4:J4)</f>
        <v>5971</v>
      </c>
    </row>
    <row r="5" spans="1:11" x14ac:dyDescent="0.25">
      <c r="B5" s="3" t="s">
        <v>9</v>
      </c>
      <c r="C5" s="26">
        <v>6000</v>
      </c>
      <c r="D5" s="6">
        <f t="shared" si="1"/>
        <v>796.8</v>
      </c>
      <c r="E5" s="6">
        <f t="shared" si="1"/>
        <v>1756.2</v>
      </c>
      <c r="F5" s="6">
        <f t="shared" si="1"/>
        <v>1438.2</v>
      </c>
      <c r="G5" s="6">
        <f t="shared" si="1"/>
        <v>1173</v>
      </c>
      <c r="H5" s="6">
        <f t="shared" si="1"/>
        <v>729</v>
      </c>
      <c r="I5" s="6">
        <f t="shared" si="1"/>
        <v>847.2</v>
      </c>
      <c r="J5" s="39">
        <f t="shared" si="1"/>
        <v>424.8</v>
      </c>
      <c r="K5" s="40">
        <f t="shared" si="2"/>
        <v>7165.2</v>
      </c>
    </row>
    <row r="6" spans="1:11" x14ac:dyDescent="0.25">
      <c r="B6" s="3" t="s">
        <v>10</v>
      </c>
      <c r="C6" s="26">
        <v>7500</v>
      </c>
      <c r="D6" s="6">
        <f t="shared" si="1"/>
        <v>996</v>
      </c>
      <c r="E6" s="6">
        <f t="shared" si="1"/>
        <v>2195.25</v>
      </c>
      <c r="F6" s="6">
        <f t="shared" si="1"/>
        <v>1797.75</v>
      </c>
      <c r="G6" s="6">
        <f t="shared" si="1"/>
        <v>1466.25</v>
      </c>
      <c r="H6" s="6">
        <f t="shared" si="1"/>
        <v>911.25</v>
      </c>
      <c r="I6" s="6">
        <f t="shared" si="1"/>
        <v>1059</v>
      </c>
      <c r="J6" s="39">
        <f t="shared" si="1"/>
        <v>531</v>
      </c>
      <c r="K6" s="40">
        <f t="shared" si="2"/>
        <v>8956.5</v>
      </c>
    </row>
    <row r="7" spans="1:11" x14ac:dyDescent="0.25">
      <c r="B7" s="3" t="s">
        <v>11</v>
      </c>
      <c r="C7" s="26">
        <v>8000</v>
      </c>
      <c r="D7" s="6">
        <f t="shared" si="1"/>
        <v>1062.4000000000001</v>
      </c>
      <c r="E7" s="6">
        <f t="shared" si="1"/>
        <v>2341.6</v>
      </c>
      <c r="F7" s="6">
        <f t="shared" si="1"/>
        <v>1917.6</v>
      </c>
      <c r="G7" s="6">
        <f t="shared" si="1"/>
        <v>1564</v>
      </c>
      <c r="H7" s="6">
        <f t="shared" si="1"/>
        <v>972</v>
      </c>
      <c r="I7" s="6">
        <f t="shared" si="1"/>
        <v>1129.5999999999999</v>
      </c>
      <c r="J7" s="39">
        <f t="shared" si="1"/>
        <v>566.4</v>
      </c>
      <c r="K7" s="40">
        <f t="shared" si="2"/>
        <v>9553.6</v>
      </c>
    </row>
    <row r="8" spans="1:11" x14ac:dyDescent="0.25">
      <c r="B8" s="3" t="s">
        <v>12</v>
      </c>
      <c r="C8" s="26">
        <v>8000</v>
      </c>
      <c r="D8" s="6">
        <f t="shared" si="1"/>
        <v>1062.4000000000001</v>
      </c>
      <c r="E8" s="6">
        <f t="shared" si="1"/>
        <v>2341.6</v>
      </c>
      <c r="F8" s="6">
        <f t="shared" si="1"/>
        <v>1917.6</v>
      </c>
      <c r="G8" s="6">
        <f t="shared" si="1"/>
        <v>1564</v>
      </c>
      <c r="H8" s="6">
        <f t="shared" si="1"/>
        <v>972</v>
      </c>
      <c r="I8" s="6">
        <f t="shared" si="1"/>
        <v>1129.5999999999999</v>
      </c>
      <c r="J8" s="39">
        <f t="shared" si="1"/>
        <v>566.4</v>
      </c>
      <c r="K8" s="40">
        <f t="shared" si="2"/>
        <v>9553.6</v>
      </c>
    </row>
    <row r="9" spans="1:11" x14ac:dyDescent="0.25">
      <c r="B9" s="3" t="s">
        <v>20</v>
      </c>
      <c r="C9" s="26">
        <v>8000</v>
      </c>
      <c r="D9" s="6">
        <f t="shared" si="1"/>
        <v>1062.4000000000001</v>
      </c>
      <c r="E9" s="6">
        <f t="shared" si="1"/>
        <v>2341.6</v>
      </c>
      <c r="F9" s="6">
        <f t="shared" si="1"/>
        <v>1917.6</v>
      </c>
      <c r="G9" s="6">
        <f t="shared" si="1"/>
        <v>1564</v>
      </c>
      <c r="H9" s="6">
        <f t="shared" si="1"/>
        <v>972</v>
      </c>
      <c r="I9" s="6">
        <f t="shared" si="1"/>
        <v>1129.5999999999999</v>
      </c>
      <c r="J9" s="39">
        <f t="shared" si="1"/>
        <v>566.4</v>
      </c>
      <c r="K9" s="40">
        <f t="shared" si="2"/>
        <v>9553.6</v>
      </c>
    </row>
    <row r="10" spans="1:11" x14ac:dyDescent="0.25">
      <c r="B10" s="3" t="s">
        <v>40</v>
      </c>
      <c r="C10" s="26">
        <v>10000</v>
      </c>
      <c r="D10" s="6">
        <f t="shared" si="1"/>
        <v>1328</v>
      </c>
      <c r="E10" s="6">
        <f t="shared" si="1"/>
        <v>2927</v>
      </c>
      <c r="F10" s="6">
        <f t="shared" si="1"/>
        <v>2397</v>
      </c>
      <c r="G10" s="6">
        <f t="shared" si="1"/>
        <v>1955</v>
      </c>
      <c r="H10" s="6">
        <f t="shared" si="1"/>
        <v>1215</v>
      </c>
      <c r="I10" s="6">
        <f t="shared" si="1"/>
        <v>1412</v>
      </c>
      <c r="J10" s="39">
        <f t="shared" si="1"/>
        <v>708</v>
      </c>
      <c r="K10" s="40">
        <f t="shared" si="2"/>
        <v>11942</v>
      </c>
    </row>
    <row r="11" spans="1:11" x14ac:dyDescent="0.25">
      <c r="B11" s="3" t="s">
        <v>41</v>
      </c>
      <c r="C11" s="26">
        <v>11000</v>
      </c>
      <c r="D11" s="6">
        <f t="shared" si="1"/>
        <v>1460.8</v>
      </c>
      <c r="E11" s="6">
        <f t="shared" si="1"/>
        <v>3219.7</v>
      </c>
      <c r="F11" s="6">
        <f t="shared" si="1"/>
        <v>2636.7</v>
      </c>
      <c r="G11" s="6">
        <f t="shared" si="1"/>
        <v>2150.5</v>
      </c>
      <c r="H11" s="6">
        <f t="shared" si="1"/>
        <v>1336.5</v>
      </c>
      <c r="I11" s="6">
        <f t="shared" si="1"/>
        <v>1553.2</v>
      </c>
      <c r="J11" s="39">
        <f t="shared" si="1"/>
        <v>778.8</v>
      </c>
      <c r="K11" s="40">
        <f t="shared" si="2"/>
        <v>13136.2</v>
      </c>
    </row>
    <row r="12" spans="1:11" ht="15.75" thickBot="1" x14ac:dyDescent="0.3">
      <c r="B12" s="3" t="s">
        <v>42</v>
      </c>
      <c r="C12" s="41">
        <v>15000</v>
      </c>
      <c r="D12" s="42">
        <f t="shared" si="1"/>
        <v>1992</v>
      </c>
      <c r="E12" s="42">
        <f t="shared" si="1"/>
        <v>4390.5</v>
      </c>
      <c r="F12" s="42">
        <f t="shared" si="1"/>
        <v>3595.5</v>
      </c>
      <c r="G12" s="42">
        <f t="shared" si="1"/>
        <v>2932.5</v>
      </c>
      <c r="H12" s="42">
        <f t="shared" si="1"/>
        <v>1822.5</v>
      </c>
      <c r="I12" s="42">
        <f t="shared" si="1"/>
        <v>2118</v>
      </c>
      <c r="J12" s="43">
        <f t="shared" si="1"/>
        <v>1062</v>
      </c>
      <c r="K12" s="44">
        <f t="shared" si="2"/>
        <v>17913</v>
      </c>
    </row>
    <row r="13" spans="1:11" ht="15.75" thickBot="1" x14ac:dyDescent="0.3">
      <c r="C13" s="45" t="s">
        <v>21</v>
      </c>
      <c r="D13" s="46">
        <f t="shared" ref="D13:J13" si="3">SUM(D4:D12)</f>
        <v>10424.799999999999</v>
      </c>
      <c r="E13" s="46">
        <f t="shared" si="3"/>
        <v>22976.95</v>
      </c>
      <c r="F13" s="46">
        <f t="shared" si="3"/>
        <v>18816.45</v>
      </c>
      <c r="G13" s="46">
        <f t="shared" si="3"/>
        <v>15346.75</v>
      </c>
      <c r="H13" s="46">
        <f t="shared" si="3"/>
        <v>9537.75</v>
      </c>
      <c r="I13" s="46">
        <f t="shared" si="3"/>
        <v>11084.2</v>
      </c>
      <c r="J13" s="46">
        <f t="shared" si="3"/>
        <v>5557.8</v>
      </c>
      <c r="K13" s="46">
        <f t="shared" si="2"/>
        <v>93744.7</v>
      </c>
    </row>
    <row r="14" spans="1:11" ht="15.75" thickTop="1" x14ac:dyDescent="0.25"/>
    <row r="15" spans="1:11" x14ac:dyDescent="0.25">
      <c r="A15" s="16" t="s">
        <v>43</v>
      </c>
      <c r="B15" s="16"/>
      <c r="D15" s="16" t="s">
        <v>43</v>
      </c>
      <c r="E15" s="16"/>
      <c r="F15" s="16"/>
      <c r="G15" s="16"/>
      <c r="H15" s="16"/>
      <c r="I15" s="16"/>
      <c r="J15" s="16"/>
    </row>
    <row r="16" spans="1:11" x14ac:dyDescent="0.25">
      <c r="A16" s="1" t="s">
        <v>44</v>
      </c>
      <c r="B16" s="17">
        <v>0.1328</v>
      </c>
      <c r="D16" s="1" t="s">
        <v>44</v>
      </c>
      <c r="E16" s="1" t="s">
        <v>45</v>
      </c>
      <c r="F16" s="1" t="s">
        <v>46</v>
      </c>
      <c r="G16" s="1" t="s">
        <v>47</v>
      </c>
      <c r="H16" s="1" t="s">
        <v>48</v>
      </c>
      <c r="I16" s="1" t="s">
        <v>49</v>
      </c>
      <c r="J16" s="1" t="s">
        <v>50</v>
      </c>
    </row>
    <row r="17" spans="1:10" x14ac:dyDescent="0.25">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25">
      <c r="A18" s="1" t="s">
        <v>46</v>
      </c>
      <c r="B18" s="17">
        <v>0.2397</v>
      </c>
    </row>
    <row r="19" spans="1:10" x14ac:dyDescent="0.25">
      <c r="A19" s="1" t="s">
        <v>47</v>
      </c>
      <c r="B19" s="17">
        <v>0.19550000000000001</v>
      </c>
    </row>
    <row r="20" spans="1:10" x14ac:dyDescent="0.25">
      <c r="A20" s="1" t="s">
        <v>48</v>
      </c>
      <c r="B20" s="17">
        <v>0.1215</v>
      </c>
    </row>
    <row r="21" spans="1:10" x14ac:dyDescent="0.25">
      <c r="A21" s="1" t="s">
        <v>49</v>
      </c>
      <c r="B21" s="17">
        <v>0.14119999999999999</v>
      </c>
    </row>
    <row r="22" spans="1:10" x14ac:dyDescent="0.25">
      <c r="A22" s="1" t="s">
        <v>50</v>
      </c>
      <c r="B22" s="17">
        <v>7.0800000000000002E-2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A1:M20"/>
  <sheetViews>
    <sheetView zoomScale="115" zoomScaleNormal="115" workbookViewId="0">
      <selection activeCell="J13" sqref="J13"/>
    </sheetView>
  </sheetViews>
  <sheetFormatPr defaultColWidth="9.140625" defaultRowHeight="15" x14ac:dyDescent="0.25"/>
  <cols>
    <col min="1" max="1" width="10.42578125" customWidth="1"/>
  </cols>
  <sheetData>
    <row r="1" spans="1:13" ht="60" x14ac:dyDescent="0.25">
      <c r="A1" s="35" t="s">
        <v>51</v>
      </c>
      <c r="B1" s="36"/>
      <c r="C1" s="36"/>
      <c r="D1" s="36"/>
      <c r="E1" s="36"/>
      <c r="F1" s="36"/>
      <c r="G1" s="36"/>
      <c r="H1" s="36"/>
      <c r="I1" s="37"/>
    </row>
    <row r="3" spans="1:13" x14ac:dyDescent="0.25">
      <c r="A3" s="3"/>
      <c r="B3" s="47" t="s">
        <v>8</v>
      </c>
      <c r="C3" s="47" t="s">
        <v>9</v>
      </c>
      <c r="D3" s="47" t="s">
        <v>10</v>
      </c>
      <c r="E3" s="47" t="s">
        <v>11</v>
      </c>
      <c r="F3" s="47" t="s">
        <v>12</v>
      </c>
      <c r="G3" s="47" t="s">
        <v>20</v>
      </c>
    </row>
    <row r="4" spans="1:13" x14ac:dyDescent="0.25">
      <c r="A4" s="47" t="s">
        <v>26</v>
      </c>
      <c r="B4" s="3">
        <v>100</v>
      </c>
      <c r="C4" s="3">
        <v>200</v>
      </c>
      <c r="D4" s="3">
        <v>300</v>
      </c>
      <c r="E4" s="3">
        <v>400</v>
      </c>
      <c r="F4" s="3">
        <v>500</v>
      </c>
      <c r="G4" s="3">
        <v>600</v>
      </c>
    </row>
    <row r="5" spans="1:13" x14ac:dyDescent="0.25">
      <c r="A5" s="47" t="s">
        <v>52</v>
      </c>
      <c r="B5" s="64">
        <f>B$4*$M5</f>
        <v>3</v>
      </c>
      <c r="C5" s="64">
        <f t="shared" ref="C5:G5" si="0">C$4*$M5</f>
        <v>6</v>
      </c>
      <c r="D5" s="64">
        <f t="shared" si="0"/>
        <v>9</v>
      </c>
      <c r="E5" s="64">
        <f t="shared" si="0"/>
        <v>12</v>
      </c>
      <c r="F5" s="64">
        <f t="shared" si="0"/>
        <v>15</v>
      </c>
      <c r="G5" s="64">
        <f t="shared" si="0"/>
        <v>18</v>
      </c>
      <c r="L5" s="18" t="s">
        <v>52</v>
      </c>
      <c r="M5" s="13">
        <v>0.03</v>
      </c>
    </row>
    <row r="6" spans="1:13" x14ac:dyDescent="0.25">
      <c r="A6" s="47" t="s">
        <v>53</v>
      </c>
      <c r="B6" s="64">
        <f t="shared" ref="B6:G15" si="1">B$4*$M6</f>
        <v>4</v>
      </c>
      <c r="C6" s="64">
        <f t="shared" si="1"/>
        <v>8</v>
      </c>
      <c r="D6" s="64">
        <f t="shared" si="1"/>
        <v>12</v>
      </c>
      <c r="E6" s="64">
        <f t="shared" si="1"/>
        <v>16</v>
      </c>
      <c r="F6" s="64">
        <f t="shared" si="1"/>
        <v>20</v>
      </c>
      <c r="G6" s="64">
        <f t="shared" si="1"/>
        <v>24</v>
      </c>
      <c r="L6" s="18" t="s">
        <v>53</v>
      </c>
      <c r="M6" s="13">
        <v>0.04</v>
      </c>
    </row>
    <row r="7" spans="1:13" x14ac:dyDescent="0.25">
      <c r="A7" s="47" t="s">
        <v>54</v>
      </c>
      <c r="B7" s="64">
        <f t="shared" si="1"/>
        <v>5</v>
      </c>
      <c r="C7" s="64">
        <f t="shared" si="1"/>
        <v>10</v>
      </c>
      <c r="D7" s="64">
        <f t="shared" si="1"/>
        <v>15</v>
      </c>
      <c r="E7" s="64">
        <f t="shared" si="1"/>
        <v>20</v>
      </c>
      <c r="F7" s="64">
        <f t="shared" si="1"/>
        <v>25</v>
      </c>
      <c r="G7" s="64">
        <f t="shared" si="1"/>
        <v>30</v>
      </c>
      <c r="L7" s="18" t="s">
        <v>54</v>
      </c>
      <c r="M7" s="13">
        <v>0.05</v>
      </c>
    </row>
    <row r="8" spans="1:13" x14ac:dyDescent="0.25">
      <c r="A8" s="47" t="s">
        <v>55</v>
      </c>
      <c r="B8" s="64">
        <f t="shared" si="1"/>
        <v>6</v>
      </c>
      <c r="C8" s="64">
        <f t="shared" si="1"/>
        <v>12</v>
      </c>
      <c r="D8" s="64">
        <f t="shared" si="1"/>
        <v>18</v>
      </c>
      <c r="E8" s="64">
        <f t="shared" si="1"/>
        <v>24</v>
      </c>
      <c r="F8" s="64">
        <f t="shared" si="1"/>
        <v>30</v>
      </c>
      <c r="G8" s="64">
        <f t="shared" si="1"/>
        <v>36</v>
      </c>
      <c r="L8" s="18" t="s">
        <v>55</v>
      </c>
      <c r="M8" s="13">
        <v>0.06</v>
      </c>
    </row>
    <row r="9" spans="1:13" x14ac:dyDescent="0.25">
      <c r="A9" s="47" t="s">
        <v>56</v>
      </c>
      <c r="B9" s="64">
        <f t="shared" si="1"/>
        <v>7.0000000000000009</v>
      </c>
      <c r="C9" s="64">
        <f t="shared" si="1"/>
        <v>14.000000000000002</v>
      </c>
      <c r="D9" s="64">
        <f t="shared" si="1"/>
        <v>21.000000000000004</v>
      </c>
      <c r="E9" s="64">
        <f t="shared" si="1"/>
        <v>28.000000000000004</v>
      </c>
      <c r="F9" s="64">
        <f t="shared" si="1"/>
        <v>35</v>
      </c>
      <c r="G9" s="64">
        <f t="shared" si="1"/>
        <v>42.000000000000007</v>
      </c>
      <c r="L9" s="18" t="s">
        <v>56</v>
      </c>
      <c r="M9" s="13">
        <v>7.0000000000000007E-2</v>
      </c>
    </row>
    <row r="10" spans="1:13" x14ac:dyDescent="0.25">
      <c r="A10" s="47" t="s">
        <v>57</v>
      </c>
      <c r="B10" s="64">
        <f t="shared" si="1"/>
        <v>8</v>
      </c>
      <c r="C10" s="64">
        <f t="shared" si="1"/>
        <v>16</v>
      </c>
      <c r="D10" s="64">
        <f t="shared" si="1"/>
        <v>24</v>
      </c>
      <c r="E10" s="64">
        <f t="shared" si="1"/>
        <v>32</v>
      </c>
      <c r="F10" s="64">
        <f t="shared" si="1"/>
        <v>40</v>
      </c>
      <c r="G10" s="64">
        <f t="shared" si="1"/>
        <v>48</v>
      </c>
      <c r="L10" s="18" t="s">
        <v>57</v>
      </c>
      <c r="M10" s="13">
        <v>0.08</v>
      </c>
    </row>
    <row r="11" spans="1:13" x14ac:dyDescent="0.25">
      <c r="A11" s="47" t="s">
        <v>58</v>
      </c>
      <c r="B11" s="64">
        <f t="shared" si="1"/>
        <v>9</v>
      </c>
      <c r="C11" s="64">
        <f t="shared" si="1"/>
        <v>18</v>
      </c>
      <c r="D11" s="64">
        <f t="shared" si="1"/>
        <v>27</v>
      </c>
      <c r="E11" s="64">
        <f t="shared" si="1"/>
        <v>36</v>
      </c>
      <c r="F11" s="64">
        <f t="shared" si="1"/>
        <v>45</v>
      </c>
      <c r="G11" s="64">
        <f t="shared" si="1"/>
        <v>54</v>
      </c>
      <c r="L11" s="18" t="s">
        <v>58</v>
      </c>
      <c r="M11" s="13">
        <v>0.09</v>
      </c>
    </row>
    <row r="12" spans="1:13" x14ac:dyDescent="0.25">
      <c r="A12" s="47" t="s">
        <v>59</v>
      </c>
      <c r="B12" s="64">
        <f t="shared" si="1"/>
        <v>10</v>
      </c>
      <c r="C12" s="64">
        <f t="shared" si="1"/>
        <v>20</v>
      </c>
      <c r="D12" s="64">
        <f t="shared" si="1"/>
        <v>30</v>
      </c>
      <c r="E12" s="64">
        <f t="shared" si="1"/>
        <v>40</v>
      </c>
      <c r="F12" s="64">
        <f t="shared" si="1"/>
        <v>50</v>
      </c>
      <c r="G12" s="64">
        <f t="shared" si="1"/>
        <v>60</v>
      </c>
      <c r="L12" s="18" t="s">
        <v>59</v>
      </c>
      <c r="M12" s="13">
        <v>0.1</v>
      </c>
    </row>
    <row r="13" spans="1:13" x14ac:dyDescent="0.25">
      <c r="A13" s="47" t="s">
        <v>60</v>
      </c>
      <c r="B13" s="64">
        <f t="shared" si="1"/>
        <v>11</v>
      </c>
      <c r="C13" s="64">
        <f t="shared" si="1"/>
        <v>22</v>
      </c>
      <c r="D13" s="64">
        <f t="shared" si="1"/>
        <v>33</v>
      </c>
      <c r="E13" s="64">
        <f t="shared" si="1"/>
        <v>44</v>
      </c>
      <c r="F13" s="64">
        <f t="shared" si="1"/>
        <v>55</v>
      </c>
      <c r="G13" s="64">
        <f t="shared" si="1"/>
        <v>66</v>
      </c>
      <c r="L13" s="18" t="s">
        <v>60</v>
      </c>
      <c r="M13" s="13">
        <v>0.11</v>
      </c>
    </row>
    <row r="14" spans="1:13" x14ac:dyDescent="0.25">
      <c r="A14" s="47" t="s">
        <v>61</v>
      </c>
      <c r="B14" s="64">
        <f t="shared" si="1"/>
        <v>12</v>
      </c>
      <c r="C14" s="64">
        <f t="shared" si="1"/>
        <v>24</v>
      </c>
      <c r="D14" s="64">
        <f t="shared" si="1"/>
        <v>36</v>
      </c>
      <c r="E14" s="64">
        <f t="shared" si="1"/>
        <v>48</v>
      </c>
      <c r="F14" s="64">
        <f t="shared" si="1"/>
        <v>60</v>
      </c>
      <c r="G14" s="64">
        <f t="shared" si="1"/>
        <v>72</v>
      </c>
      <c r="L14" s="18" t="s">
        <v>61</v>
      </c>
      <c r="M14" s="13">
        <v>0.12</v>
      </c>
    </row>
    <row r="15" spans="1:13" x14ac:dyDescent="0.25">
      <c r="A15" s="47" t="s">
        <v>62</v>
      </c>
      <c r="B15" s="64">
        <f t="shared" si="1"/>
        <v>13</v>
      </c>
      <c r="C15" s="64">
        <f t="shared" si="1"/>
        <v>26</v>
      </c>
      <c r="D15" s="64">
        <f t="shared" si="1"/>
        <v>39</v>
      </c>
      <c r="E15" s="64">
        <f t="shared" si="1"/>
        <v>52</v>
      </c>
      <c r="F15" s="64">
        <f t="shared" si="1"/>
        <v>65</v>
      </c>
      <c r="G15" s="64">
        <f t="shared" si="1"/>
        <v>78</v>
      </c>
      <c r="L15" s="18" t="s">
        <v>62</v>
      </c>
      <c r="M15" s="13">
        <v>0.13</v>
      </c>
    </row>
    <row r="16" spans="1:13" ht="15.75" thickBot="1" x14ac:dyDescent="0.3">
      <c r="A16" s="48" t="s">
        <v>63</v>
      </c>
      <c r="B16" s="65">
        <f>SUM(B5:B15)</f>
        <v>88</v>
      </c>
      <c r="C16" s="65">
        <f t="shared" ref="C16:G16" si="2">SUM(C5:C15)</f>
        <v>176</v>
      </c>
      <c r="D16" s="65">
        <f t="shared" si="2"/>
        <v>264</v>
      </c>
      <c r="E16" s="65">
        <f t="shared" si="2"/>
        <v>352</v>
      </c>
      <c r="F16" s="65">
        <f t="shared" si="2"/>
        <v>440</v>
      </c>
      <c r="G16" s="65">
        <f t="shared" si="2"/>
        <v>528</v>
      </c>
    </row>
    <row r="17" spans="1:11" ht="15.75" thickBot="1" x14ac:dyDescent="0.3">
      <c r="A17" s="49" t="s">
        <v>6</v>
      </c>
      <c r="B17" s="66">
        <f>B4-B16</f>
        <v>12</v>
      </c>
      <c r="C17" s="66">
        <f t="shared" ref="C17:G17" si="3">C4-C16</f>
        <v>24</v>
      </c>
      <c r="D17" s="66">
        <f t="shared" si="3"/>
        <v>36</v>
      </c>
      <c r="E17" s="66">
        <f t="shared" si="3"/>
        <v>48</v>
      </c>
      <c r="F17" s="66">
        <f t="shared" si="3"/>
        <v>60</v>
      </c>
      <c r="G17" s="66">
        <f t="shared" si="3"/>
        <v>72</v>
      </c>
    </row>
    <row r="18" spans="1:11" ht="15.75" thickTop="1" x14ac:dyDescent="0.25"/>
    <row r="19" spans="1:11" x14ac:dyDescent="0.25">
      <c r="A19" s="18" t="s">
        <v>52</v>
      </c>
      <c r="B19" s="18" t="s">
        <v>53</v>
      </c>
      <c r="C19" s="18" t="s">
        <v>54</v>
      </c>
      <c r="D19" s="18" t="s">
        <v>55</v>
      </c>
      <c r="E19" s="18" t="s">
        <v>56</v>
      </c>
      <c r="F19" s="18" t="s">
        <v>57</v>
      </c>
      <c r="G19" s="18" t="s">
        <v>58</v>
      </c>
      <c r="H19" s="18" t="s">
        <v>59</v>
      </c>
      <c r="I19" s="18" t="s">
        <v>60</v>
      </c>
      <c r="J19" s="18" t="s">
        <v>61</v>
      </c>
      <c r="K19" s="18" t="s">
        <v>62</v>
      </c>
    </row>
    <row r="20" spans="1:11" x14ac:dyDescent="0.25">
      <c r="A20" s="13">
        <v>0.03</v>
      </c>
      <c r="B20" s="13">
        <v>0.04</v>
      </c>
      <c r="C20" s="13">
        <v>0.05</v>
      </c>
      <c r="D20" s="13">
        <v>0.06</v>
      </c>
      <c r="E20" s="13">
        <v>7.0000000000000007E-2</v>
      </c>
      <c r="F20" s="13">
        <v>0.08</v>
      </c>
      <c r="G20" s="13">
        <v>0.09</v>
      </c>
      <c r="H20" s="13">
        <v>0.1</v>
      </c>
      <c r="I20" s="13">
        <v>0.11</v>
      </c>
      <c r="J20" s="13">
        <v>0.12</v>
      </c>
      <c r="K20" s="13">
        <v>0.13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J18"/>
  <sheetViews>
    <sheetView zoomScale="130" zoomScaleNormal="130" workbookViewId="0">
      <selection activeCell="O8" sqref="O8"/>
    </sheetView>
  </sheetViews>
  <sheetFormatPr defaultColWidth="9.140625" defaultRowHeight="15" x14ac:dyDescent="0.25"/>
  <cols>
    <col min="1" max="1" width="10.42578125" customWidth="1"/>
    <col min="2" max="2" width="13.140625" customWidth="1"/>
    <col min="3" max="3" width="12.42578125" customWidth="1"/>
    <col min="4" max="4" width="14.28515625" customWidth="1"/>
    <col min="5" max="5" width="13.42578125" customWidth="1"/>
    <col min="6" max="6" width="14.7109375" customWidth="1"/>
    <col min="7" max="7" width="14.5703125" customWidth="1"/>
  </cols>
  <sheetData>
    <row r="1" spans="1:10" ht="60" x14ac:dyDescent="0.25">
      <c r="A1" s="35" t="s">
        <v>51</v>
      </c>
      <c r="B1" s="36"/>
      <c r="C1" s="36"/>
      <c r="D1" s="36"/>
      <c r="E1" s="36"/>
      <c r="F1" s="36"/>
      <c r="G1" s="36"/>
      <c r="H1" s="36"/>
      <c r="I1" s="37"/>
    </row>
    <row r="3" spans="1:10" x14ac:dyDescent="0.25">
      <c r="A3" s="3"/>
      <c r="B3" s="47" t="s">
        <v>8</v>
      </c>
      <c r="C3" s="47" t="s">
        <v>9</v>
      </c>
      <c r="D3" s="47" t="s">
        <v>10</v>
      </c>
      <c r="E3" s="47" t="s">
        <v>11</v>
      </c>
      <c r="F3" s="47" t="s">
        <v>12</v>
      </c>
      <c r="G3" s="47" t="s">
        <v>20</v>
      </c>
    </row>
    <row r="4" spans="1:10" x14ac:dyDescent="0.25">
      <c r="A4" s="47" t="s">
        <v>26</v>
      </c>
      <c r="B4" s="19">
        <v>100</v>
      </c>
      <c r="C4" s="19">
        <v>200</v>
      </c>
      <c r="D4" s="19">
        <v>300</v>
      </c>
      <c r="E4" s="19">
        <v>400</v>
      </c>
      <c r="F4" s="19">
        <v>500</v>
      </c>
      <c r="G4" s="19">
        <v>600</v>
      </c>
      <c r="I4" s="50" t="s">
        <v>64</v>
      </c>
      <c r="J4" s="50"/>
    </row>
    <row r="5" spans="1:10" x14ac:dyDescent="0.25">
      <c r="A5" s="47" t="s">
        <v>52</v>
      </c>
      <c r="B5" s="15">
        <f>B$4*$J5</f>
        <v>3</v>
      </c>
      <c r="C5" s="15">
        <f t="shared" ref="B5:G15" si="0">C$4*$J5</f>
        <v>6</v>
      </c>
      <c r="D5" s="15">
        <f t="shared" si="0"/>
        <v>9</v>
      </c>
      <c r="E5" s="15">
        <f t="shared" si="0"/>
        <v>12</v>
      </c>
      <c r="F5" s="15">
        <f t="shared" si="0"/>
        <v>15</v>
      </c>
      <c r="G5" s="15">
        <f t="shared" si="0"/>
        <v>18</v>
      </c>
      <c r="I5" s="3" t="s">
        <v>52</v>
      </c>
      <c r="J5" s="13">
        <v>0.03</v>
      </c>
    </row>
    <row r="6" spans="1:10" x14ac:dyDescent="0.25">
      <c r="A6" s="47" t="s">
        <v>53</v>
      </c>
      <c r="B6" s="15">
        <f t="shared" si="0"/>
        <v>4</v>
      </c>
      <c r="C6" s="15">
        <f t="shared" si="0"/>
        <v>8</v>
      </c>
      <c r="D6" s="15">
        <f t="shared" si="0"/>
        <v>12</v>
      </c>
      <c r="E6" s="15">
        <f t="shared" si="0"/>
        <v>16</v>
      </c>
      <c r="F6" s="15">
        <f t="shared" si="0"/>
        <v>20</v>
      </c>
      <c r="G6" s="15">
        <f t="shared" si="0"/>
        <v>24</v>
      </c>
      <c r="I6" s="3" t="s">
        <v>53</v>
      </c>
      <c r="J6" s="13">
        <v>0.04</v>
      </c>
    </row>
    <row r="7" spans="1:10" x14ac:dyDescent="0.25">
      <c r="A7" s="47" t="s">
        <v>54</v>
      </c>
      <c r="B7" s="15">
        <f t="shared" si="0"/>
        <v>5</v>
      </c>
      <c r="C7" s="15">
        <f t="shared" si="0"/>
        <v>10</v>
      </c>
      <c r="D7" s="15">
        <f t="shared" si="0"/>
        <v>15</v>
      </c>
      <c r="E7" s="15">
        <f t="shared" si="0"/>
        <v>20</v>
      </c>
      <c r="F7" s="15">
        <f t="shared" si="0"/>
        <v>25</v>
      </c>
      <c r="G7" s="15">
        <f t="shared" si="0"/>
        <v>30</v>
      </c>
      <c r="I7" s="3" t="s">
        <v>54</v>
      </c>
      <c r="J7" s="13">
        <v>0.05</v>
      </c>
    </row>
    <row r="8" spans="1:10" x14ac:dyDescent="0.25">
      <c r="A8" s="47" t="s">
        <v>55</v>
      </c>
      <c r="B8" s="15">
        <f t="shared" si="0"/>
        <v>6</v>
      </c>
      <c r="C8" s="15">
        <f t="shared" si="0"/>
        <v>12</v>
      </c>
      <c r="D8" s="15">
        <f t="shared" si="0"/>
        <v>18</v>
      </c>
      <c r="E8" s="15">
        <f t="shared" si="0"/>
        <v>24</v>
      </c>
      <c r="F8" s="15">
        <f t="shared" si="0"/>
        <v>30</v>
      </c>
      <c r="G8" s="15">
        <f t="shared" si="0"/>
        <v>36</v>
      </c>
      <c r="I8" s="3" t="s">
        <v>55</v>
      </c>
      <c r="J8" s="13">
        <v>0.06</v>
      </c>
    </row>
    <row r="9" spans="1:10" x14ac:dyDescent="0.25">
      <c r="A9" s="47" t="s">
        <v>56</v>
      </c>
      <c r="B9" s="15">
        <f t="shared" si="0"/>
        <v>7.0000000000000009</v>
      </c>
      <c r="C9" s="15">
        <f t="shared" si="0"/>
        <v>14.000000000000002</v>
      </c>
      <c r="D9" s="15">
        <f t="shared" si="0"/>
        <v>21.000000000000004</v>
      </c>
      <c r="E9" s="15">
        <f t="shared" si="0"/>
        <v>28.000000000000004</v>
      </c>
      <c r="F9" s="15">
        <f t="shared" si="0"/>
        <v>35</v>
      </c>
      <c r="G9" s="15">
        <f t="shared" si="0"/>
        <v>42.000000000000007</v>
      </c>
      <c r="I9" s="3" t="s">
        <v>56</v>
      </c>
      <c r="J9" s="13">
        <v>7.0000000000000007E-2</v>
      </c>
    </row>
    <row r="10" spans="1:10" x14ac:dyDescent="0.25">
      <c r="A10" s="47" t="s">
        <v>57</v>
      </c>
      <c r="B10" s="15">
        <f t="shared" si="0"/>
        <v>8</v>
      </c>
      <c r="C10" s="15">
        <f t="shared" si="0"/>
        <v>16</v>
      </c>
      <c r="D10" s="15">
        <f t="shared" si="0"/>
        <v>24</v>
      </c>
      <c r="E10" s="15">
        <f t="shared" si="0"/>
        <v>32</v>
      </c>
      <c r="F10" s="15">
        <f t="shared" si="0"/>
        <v>40</v>
      </c>
      <c r="G10" s="15">
        <f t="shared" si="0"/>
        <v>48</v>
      </c>
      <c r="I10" s="3" t="s">
        <v>57</v>
      </c>
      <c r="J10" s="13">
        <v>0.08</v>
      </c>
    </row>
    <row r="11" spans="1:10" x14ac:dyDescent="0.25">
      <c r="A11" s="47" t="s">
        <v>58</v>
      </c>
      <c r="B11" s="15">
        <f t="shared" si="0"/>
        <v>9</v>
      </c>
      <c r="C11" s="15">
        <f t="shared" si="0"/>
        <v>18</v>
      </c>
      <c r="D11" s="15">
        <f t="shared" si="0"/>
        <v>27</v>
      </c>
      <c r="E11" s="15">
        <f t="shared" si="0"/>
        <v>36</v>
      </c>
      <c r="F11" s="15">
        <f t="shared" si="0"/>
        <v>45</v>
      </c>
      <c r="G11" s="15">
        <f t="shared" si="0"/>
        <v>54</v>
      </c>
      <c r="I11" s="3" t="s">
        <v>58</v>
      </c>
      <c r="J11" s="13">
        <v>0.09</v>
      </c>
    </row>
    <row r="12" spans="1:10" x14ac:dyDescent="0.25">
      <c r="A12" s="47" t="s">
        <v>59</v>
      </c>
      <c r="B12" s="15">
        <f t="shared" si="0"/>
        <v>10</v>
      </c>
      <c r="C12" s="15">
        <f t="shared" si="0"/>
        <v>20</v>
      </c>
      <c r="D12" s="15">
        <f t="shared" si="0"/>
        <v>30</v>
      </c>
      <c r="E12" s="15">
        <f t="shared" si="0"/>
        <v>40</v>
      </c>
      <c r="F12" s="15">
        <f t="shared" si="0"/>
        <v>50</v>
      </c>
      <c r="G12" s="15">
        <f t="shared" si="0"/>
        <v>60</v>
      </c>
      <c r="I12" s="3" t="s">
        <v>59</v>
      </c>
      <c r="J12" s="13">
        <v>0.1</v>
      </c>
    </row>
    <row r="13" spans="1:10" x14ac:dyDescent="0.25">
      <c r="A13" s="47" t="s">
        <v>60</v>
      </c>
      <c r="B13" s="15">
        <f t="shared" si="0"/>
        <v>11</v>
      </c>
      <c r="C13" s="15">
        <f t="shared" si="0"/>
        <v>22</v>
      </c>
      <c r="D13" s="15">
        <f t="shared" si="0"/>
        <v>33</v>
      </c>
      <c r="E13" s="15">
        <f t="shared" si="0"/>
        <v>44</v>
      </c>
      <c r="F13" s="15">
        <f t="shared" si="0"/>
        <v>55</v>
      </c>
      <c r="G13" s="15">
        <f t="shared" si="0"/>
        <v>66</v>
      </c>
      <c r="I13" s="3" t="s">
        <v>60</v>
      </c>
      <c r="J13" s="13">
        <v>0.11</v>
      </c>
    </row>
    <row r="14" spans="1:10" x14ac:dyDescent="0.25">
      <c r="A14" s="47" t="s">
        <v>61</v>
      </c>
      <c r="B14" s="15">
        <f t="shared" si="0"/>
        <v>12</v>
      </c>
      <c r="C14" s="15">
        <f t="shared" si="0"/>
        <v>24</v>
      </c>
      <c r="D14" s="15">
        <f t="shared" si="0"/>
        <v>36</v>
      </c>
      <c r="E14" s="15">
        <f t="shared" si="0"/>
        <v>48</v>
      </c>
      <c r="F14" s="15">
        <f t="shared" si="0"/>
        <v>60</v>
      </c>
      <c r="G14" s="15">
        <f t="shared" si="0"/>
        <v>72</v>
      </c>
      <c r="I14" s="3" t="s">
        <v>61</v>
      </c>
      <c r="J14" s="13">
        <v>0.12</v>
      </c>
    </row>
    <row r="15" spans="1:10" ht="15.75" thickBot="1" x14ac:dyDescent="0.3">
      <c r="A15" s="47" t="s">
        <v>62</v>
      </c>
      <c r="B15" s="51">
        <f t="shared" si="0"/>
        <v>13</v>
      </c>
      <c r="C15" s="51">
        <f t="shared" si="0"/>
        <v>26</v>
      </c>
      <c r="D15" s="51">
        <f t="shared" si="0"/>
        <v>39</v>
      </c>
      <c r="E15" s="51">
        <f t="shared" si="0"/>
        <v>52</v>
      </c>
      <c r="F15" s="51">
        <f t="shared" si="0"/>
        <v>65</v>
      </c>
      <c r="G15" s="51">
        <f t="shared" si="0"/>
        <v>78</v>
      </c>
      <c r="I15" s="3" t="s">
        <v>62</v>
      </c>
      <c r="J15" s="13">
        <v>0.13</v>
      </c>
    </row>
    <row r="16" spans="1:10" ht="15.75" thickBot="1" x14ac:dyDescent="0.3">
      <c r="A16" s="48" t="s">
        <v>63</v>
      </c>
      <c r="B16" s="52">
        <f>SUM(B5:B15)</f>
        <v>88</v>
      </c>
      <c r="C16" s="52">
        <f t="shared" ref="C16:G16" si="1">SUM(C5:C15)</f>
        <v>176</v>
      </c>
      <c r="D16" s="52">
        <f t="shared" si="1"/>
        <v>264</v>
      </c>
      <c r="E16" s="52">
        <f t="shared" si="1"/>
        <v>352</v>
      </c>
      <c r="F16" s="52">
        <f t="shared" si="1"/>
        <v>440</v>
      </c>
      <c r="G16" s="52">
        <f t="shared" si="1"/>
        <v>528</v>
      </c>
      <c r="J16" s="53">
        <f>SUM(J5:J15)</f>
        <v>0.88</v>
      </c>
    </row>
    <row r="17" spans="1:10" ht="15.75" thickBot="1" x14ac:dyDescent="0.3">
      <c r="A17" s="49" t="s">
        <v>6</v>
      </c>
      <c r="B17" s="54">
        <f t="shared" ref="B17:G17" si="2">B4-B16</f>
        <v>12</v>
      </c>
      <c r="C17" s="54">
        <f t="shared" si="2"/>
        <v>24</v>
      </c>
      <c r="D17" s="54">
        <f t="shared" si="2"/>
        <v>36</v>
      </c>
      <c r="E17" s="54">
        <f t="shared" si="2"/>
        <v>48</v>
      </c>
      <c r="F17" s="54">
        <f t="shared" si="2"/>
        <v>60</v>
      </c>
      <c r="G17" s="54">
        <f t="shared" si="2"/>
        <v>72</v>
      </c>
    </row>
    <row r="18" spans="1:10" ht="15.75" thickTop="1" x14ac:dyDescent="0.25">
      <c r="I18" t="s">
        <v>65</v>
      </c>
      <c r="J18">
        <f>G16/G4</f>
        <v>0.88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00FF"/>
  </sheetPr>
  <dimension ref="A1:I26"/>
  <sheetViews>
    <sheetView zoomScale="130" zoomScaleNormal="130" workbookViewId="0">
      <selection activeCell="I17" sqref="I17"/>
    </sheetView>
  </sheetViews>
  <sheetFormatPr defaultColWidth="9.140625" defaultRowHeight="15" x14ac:dyDescent="0.25"/>
  <cols>
    <col min="1" max="1" width="14.85546875" customWidth="1"/>
    <col min="2" max="2" width="19.7109375" customWidth="1"/>
    <col min="3" max="3" width="17" customWidth="1"/>
    <col min="4" max="4" width="27.7109375" customWidth="1"/>
    <col min="5" max="5" width="16.7109375" customWidth="1"/>
    <col min="6" max="6" width="26" customWidth="1"/>
  </cols>
  <sheetData>
    <row r="1" spans="1:9" ht="60" x14ac:dyDescent="0.25">
      <c r="A1" s="35" t="s">
        <v>66</v>
      </c>
      <c r="B1" s="36"/>
      <c r="C1" s="36"/>
      <c r="D1" s="36"/>
      <c r="E1" s="36"/>
      <c r="F1" s="36"/>
      <c r="G1" s="36"/>
      <c r="H1" s="36"/>
      <c r="I1" s="37"/>
    </row>
    <row r="4" spans="1:9" ht="45" x14ac:dyDescent="0.25">
      <c r="A4" s="2" t="s">
        <v>7</v>
      </c>
      <c r="B4" s="2" t="s">
        <v>22</v>
      </c>
      <c r="C4" s="55" t="str">
        <f>C9</f>
        <v>Rent</v>
      </c>
      <c r="D4" s="55" t="str">
        <f t="shared" ref="D4:G4" si="0">D9</f>
        <v>Operating Expense</v>
      </c>
      <c r="E4" s="55" t="str">
        <f t="shared" si="0"/>
        <v>Admin Expenses</v>
      </c>
      <c r="F4" s="55" t="str">
        <f t="shared" si="0"/>
        <v>Misc. Expenses</v>
      </c>
      <c r="G4" s="55" t="s">
        <v>13</v>
      </c>
      <c r="H4" s="55" t="s">
        <v>6</v>
      </c>
    </row>
    <row r="5" spans="1:9" x14ac:dyDescent="0.25">
      <c r="A5" s="3" t="s">
        <v>8</v>
      </c>
      <c r="B5" s="26">
        <v>1000</v>
      </c>
      <c r="C5" s="67">
        <f>C$10*$B5</f>
        <v>250</v>
      </c>
      <c r="D5" s="67">
        <f t="shared" ref="D5:F5" si="1">D$10*$B5</f>
        <v>350</v>
      </c>
      <c r="E5" s="67">
        <f t="shared" si="1"/>
        <v>100</v>
      </c>
      <c r="F5" s="67">
        <f t="shared" si="1"/>
        <v>85</v>
      </c>
      <c r="G5" s="67">
        <f>SUM(C5:F5)</f>
        <v>785</v>
      </c>
      <c r="H5" s="68">
        <f>B5-G5</f>
        <v>215</v>
      </c>
    </row>
    <row r="6" spans="1:9" x14ac:dyDescent="0.25">
      <c r="A6" s="3" t="s">
        <v>9</v>
      </c>
      <c r="B6" s="26">
        <v>2000</v>
      </c>
      <c r="C6" s="67">
        <f t="shared" ref="C6:F7" si="2">C$10*$B6</f>
        <v>500</v>
      </c>
      <c r="D6" s="67">
        <f t="shared" si="2"/>
        <v>700</v>
      </c>
      <c r="E6" s="67">
        <f t="shared" si="2"/>
        <v>200</v>
      </c>
      <c r="F6" s="67">
        <f t="shared" si="2"/>
        <v>170</v>
      </c>
      <c r="G6" s="67">
        <f t="shared" ref="G6:G7" si="3">SUM(C6:F6)</f>
        <v>1570</v>
      </c>
      <c r="H6" s="68">
        <f t="shared" ref="H6:H7" si="4">B6-G6</f>
        <v>430</v>
      </c>
    </row>
    <row r="7" spans="1:9" x14ac:dyDescent="0.25">
      <c r="A7" s="3" t="s">
        <v>10</v>
      </c>
      <c r="B7" s="26">
        <v>2500</v>
      </c>
      <c r="C7" s="67">
        <f t="shared" si="2"/>
        <v>625</v>
      </c>
      <c r="D7" s="67">
        <f t="shared" si="2"/>
        <v>875</v>
      </c>
      <c r="E7" s="67">
        <f t="shared" si="2"/>
        <v>250</v>
      </c>
      <c r="F7" s="67">
        <f t="shared" si="2"/>
        <v>212.50000000000003</v>
      </c>
      <c r="G7" s="67">
        <f t="shared" si="3"/>
        <v>1962.5</v>
      </c>
      <c r="H7" s="68">
        <f t="shared" si="4"/>
        <v>537.5</v>
      </c>
    </row>
    <row r="9" spans="1:9" ht="14.25" customHeight="1" x14ac:dyDescent="0.25">
      <c r="C9" s="58" t="s">
        <v>67</v>
      </c>
      <c r="D9" s="58" t="s">
        <v>68</v>
      </c>
      <c r="E9" s="58" t="s">
        <v>69</v>
      </c>
      <c r="F9" s="58" t="s">
        <v>70</v>
      </c>
    </row>
    <row r="10" spans="1:9" x14ac:dyDescent="0.25">
      <c r="C10" s="17">
        <v>0.25</v>
      </c>
      <c r="D10" s="17">
        <v>0.35</v>
      </c>
      <c r="E10" s="17">
        <v>0.1</v>
      </c>
      <c r="F10" s="17">
        <v>8.5000000000000006E-2</v>
      </c>
    </row>
    <row r="12" spans="1:9" x14ac:dyDescent="0.25">
      <c r="A12" t="s">
        <v>71</v>
      </c>
      <c r="C12" s="59"/>
      <c r="D12" s="59"/>
    </row>
    <row r="14" spans="1:9" x14ac:dyDescent="0.25">
      <c r="B14" s="14" t="s">
        <v>8</v>
      </c>
      <c r="C14" s="14" t="s">
        <v>9</v>
      </c>
      <c r="D14" s="14" t="s">
        <v>10</v>
      </c>
    </row>
    <row r="15" spans="1:9" x14ac:dyDescent="0.25">
      <c r="A15" s="14" t="s">
        <v>22</v>
      </c>
      <c r="B15" s="26">
        <v>1000</v>
      </c>
      <c r="C15" s="26">
        <v>2000</v>
      </c>
      <c r="D15" s="26">
        <v>2500</v>
      </c>
    </row>
    <row r="16" spans="1:9" x14ac:dyDescent="0.25">
      <c r="A16" s="14" t="str">
        <f>A23</f>
        <v>Rent</v>
      </c>
      <c r="B16" s="26">
        <f t="shared" ref="B16:D19" si="5">B$15*$B23</f>
        <v>250</v>
      </c>
      <c r="C16" s="26">
        <f t="shared" si="5"/>
        <v>500</v>
      </c>
      <c r="D16" s="26">
        <f t="shared" si="5"/>
        <v>625</v>
      </c>
    </row>
    <row r="17" spans="1:4" x14ac:dyDescent="0.25">
      <c r="A17" s="14" t="str">
        <f>A24</f>
        <v>Operating Expense</v>
      </c>
      <c r="B17" s="26">
        <f t="shared" si="5"/>
        <v>350</v>
      </c>
      <c r="C17" s="26">
        <f t="shared" si="5"/>
        <v>700</v>
      </c>
      <c r="D17" s="26">
        <f t="shared" si="5"/>
        <v>875</v>
      </c>
    </row>
    <row r="18" spans="1:4" x14ac:dyDescent="0.25">
      <c r="A18" s="14" t="str">
        <f>A25</f>
        <v>Admin Expenses</v>
      </c>
      <c r="B18" s="26">
        <f t="shared" si="5"/>
        <v>100</v>
      </c>
      <c r="C18" s="26">
        <f t="shared" si="5"/>
        <v>200</v>
      </c>
      <c r="D18" s="26">
        <f t="shared" si="5"/>
        <v>250</v>
      </c>
    </row>
    <row r="19" spans="1:4" x14ac:dyDescent="0.25">
      <c r="A19" s="14" t="str">
        <f>A26</f>
        <v>Misc. Expenses</v>
      </c>
      <c r="B19" s="26">
        <f t="shared" si="5"/>
        <v>85</v>
      </c>
      <c r="C19" s="26">
        <f t="shared" si="5"/>
        <v>170</v>
      </c>
      <c r="D19" s="26">
        <f t="shared" si="5"/>
        <v>212.50000000000003</v>
      </c>
    </row>
    <row r="20" spans="1:4" x14ac:dyDescent="0.25">
      <c r="A20" s="14" t="s">
        <v>13</v>
      </c>
      <c r="B20" s="26">
        <f>SUM(B16:B19)</f>
        <v>785</v>
      </c>
      <c r="C20" s="26">
        <f>SUM(C16:C19)</f>
        <v>1570</v>
      </c>
      <c r="D20" s="26">
        <f>SUM(D16:D19)</f>
        <v>1962.5</v>
      </c>
    </row>
    <row r="21" spans="1:4" x14ac:dyDescent="0.25">
      <c r="A21" s="14" t="s">
        <v>6</v>
      </c>
      <c r="B21" s="26">
        <f>B15-B20</f>
        <v>215</v>
      </c>
      <c r="C21" s="26">
        <f>C15-C20</f>
        <v>430</v>
      </c>
      <c r="D21" s="26">
        <f>D15-D20</f>
        <v>537.5</v>
      </c>
    </row>
    <row r="23" spans="1:4" x14ac:dyDescent="0.25">
      <c r="A23" s="60" t="s">
        <v>67</v>
      </c>
      <c r="B23" s="17">
        <v>0.25</v>
      </c>
    </row>
    <row r="24" spans="1:4" ht="45" x14ac:dyDescent="0.25">
      <c r="A24" s="60" t="s">
        <v>68</v>
      </c>
      <c r="B24" s="17">
        <v>0.35</v>
      </c>
    </row>
    <row r="25" spans="1:4" ht="45" x14ac:dyDescent="0.25">
      <c r="A25" s="60" t="s">
        <v>69</v>
      </c>
      <c r="B25" s="17">
        <v>0.1</v>
      </c>
    </row>
    <row r="26" spans="1:4" ht="45" x14ac:dyDescent="0.25">
      <c r="A26" s="60" t="s">
        <v>70</v>
      </c>
      <c r="B26" s="17">
        <v>8.5000000000000006E-2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0000"/>
  </sheetPr>
  <dimension ref="A1:I26"/>
  <sheetViews>
    <sheetView zoomScale="115" zoomScaleNormal="115" workbookViewId="0">
      <selection activeCell="J21" sqref="J21"/>
    </sheetView>
  </sheetViews>
  <sheetFormatPr defaultColWidth="9.140625" defaultRowHeight="15" x14ac:dyDescent="0.25"/>
  <cols>
    <col min="1" max="1" width="20.42578125" bestFit="1" customWidth="1"/>
    <col min="2" max="8" width="12.42578125" customWidth="1"/>
  </cols>
  <sheetData>
    <row r="1" spans="1:9" ht="45" x14ac:dyDescent="0.25">
      <c r="A1" s="35" t="s">
        <v>66</v>
      </c>
      <c r="B1" s="36"/>
      <c r="C1" s="36"/>
      <c r="D1" s="36"/>
      <c r="E1" s="36"/>
      <c r="F1" s="36"/>
      <c r="G1" s="36"/>
      <c r="H1" s="36"/>
      <c r="I1" s="37"/>
    </row>
    <row r="4" spans="1:9" ht="30" x14ac:dyDescent="0.25">
      <c r="A4" s="2" t="s">
        <v>7</v>
      </c>
      <c r="B4" s="2" t="s">
        <v>22</v>
      </c>
      <c r="C4" s="55" t="str">
        <f>C9</f>
        <v>Rent</v>
      </c>
      <c r="D4" s="55" t="str">
        <f t="shared" ref="C4:F4" si="0">D9</f>
        <v>Operating Expense</v>
      </c>
      <c r="E4" s="55" t="str">
        <f t="shared" si="0"/>
        <v>Admin Expenses</v>
      </c>
      <c r="F4" s="55" t="str">
        <f t="shared" si="0"/>
        <v>Misc. Expenses</v>
      </c>
      <c r="G4" s="55" t="s">
        <v>13</v>
      </c>
      <c r="H4" s="55" t="s">
        <v>6</v>
      </c>
    </row>
    <row r="5" spans="1:9" x14ac:dyDescent="0.25">
      <c r="A5" s="3" t="s">
        <v>8</v>
      </c>
      <c r="B5" s="26">
        <v>1000</v>
      </c>
      <c r="C5" s="6">
        <f t="shared" ref="C5:F7" si="1">$B5*C$10</f>
        <v>250</v>
      </c>
      <c r="D5" s="6">
        <f t="shared" si="1"/>
        <v>350</v>
      </c>
      <c r="E5" s="6">
        <f t="shared" si="1"/>
        <v>100</v>
      </c>
      <c r="F5" s="6">
        <f t="shared" si="1"/>
        <v>85</v>
      </c>
      <c r="G5" s="56">
        <f t="shared" ref="G5:G7" si="2">SUM(C5:F5)</f>
        <v>785</v>
      </c>
      <c r="H5" s="57">
        <f t="shared" ref="H5:H7" si="3">B5-G5</f>
        <v>215</v>
      </c>
    </row>
    <row r="6" spans="1:9" x14ac:dyDescent="0.25">
      <c r="A6" s="3" t="s">
        <v>9</v>
      </c>
      <c r="B6" s="26">
        <v>2000</v>
      </c>
      <c r="C6" s="6">
        <f t="shared" si="1"/>
        <v>500</v>
      </c>
      <c r="D6" s="6">
        <f t="shared" si="1"/>
        <v>700</v>
      </c>
      <c r="E6" s="6">
        <f t="shared" si="1"/>
        <v>200</v>
      </c>
      <c r="F6" s="6">
        <f t="shared" si="1"/>
        <v>170</v>
      </c>
      <c r="G6" s="56">
        <f t="shared" si="2"/>
        <v>1570</v>
      </c>
      <c r="H6" s="57">
        <f t="shared" si="3"/>
        <v>430</v>
      </c>
    </row>
    <row r="7" spans="1:9" x14ac:dyDescent="0.25">
      <c r="A7" s="3" t="s">
        <v>10</v>
      </c>
      <c r="B7" s="26">
        <v>2500</v>
      </c>
      <c r="C7" s="6">
        <f t="shared" si="1"/>
        <v>625</v>
      </c>
      <c r="D7" s="6">
        <f t="shared" si="1"/>
        <v>875</v>
      </c>
      <c r="E7" s="6">
        <f t="shared" si="1"/>
        <v>250</v>
      </c>
      <c r="F7" s="6">
        <f t="shared" si="1"/>
        <v>212.50000000000003</v>
      </c>
      <c r="G7" s="56">
        <f t="shared" si="2"/>
        <v>1962.5</v>
      </c>
      <c r="H7" s="57">
        <f t="shared" si="3"/>
        <v>537.5</v>
      </c>
    </row>
    <row r="9" spans="1:9" ht="30" x14ac:dyDescent="0.25">
      <c r="C9" s="58" t="s">
        <v>67</v>
      </c>
      <c r="D9" s="58" t="s">
        <v>68</v>
      </c>
      <c r="E9" s="58" t="s">
        <v>69</v>
      </c>
      <c r="F9" s="58" t="s">
        <v>70</v>
      </c>
    </row>
    <row r="10" spans="1:9" x14ac:dyDescent="0.25">
      <c r="C10" s="17">
        <v>0.25</v>
      </c>
      <c r="D10" s="17">
        <v>0.35</v>
      </c>
      <c r="E10" s="17">
        <v>0.1</v>
      </c>
      <c r="F10" s="17">
        <v>8.5000000000000006E-2</v>
      </c>
    </row>
    <row r="11" spans="1:9" x14ac:dyDescent="0.25">
      <c r="C11" s="59"/>
      <c r="D11" s="59"/>
      <c r="E11" s="59"/>
      <c r="F11" s="59"/>
    </row>
    <row r="12" spans="1:9" x14ac:dyDescent="0.25">
      <c r="A12" t="s">
        <v>71</v>
      </c>
      <c r="C12" s="59"/>
      <c r="D12" s="59"/>
      <c r="E12" s="59"/>
      <c r="F12" s="59"/>
    </row>
    <row r="14" spans="1:9" x14ac:dyDescent="0.25">
      <c r="B14" s="14" t="s">
        <v>8</v>
      </c>
      <c r="C14" s="14" t="s">
        <v>9</v>
      </c>
      <c r="D14" s="14" t="s">
        <v>10</v>
      </c>
    </row>
    <row r="15" spans="1:9" x14ac:dyDescent="0.25">
      <c r="A15" s="14" t="s">
        <v>22</v>
      </c>
      <c r="B15" s="26">
        <v>1000</v>
      </c>
      <c r="C15" s="26">
        <v>2000</v>
      </c>
      <c r="D15" s="26">
        <v>2500</v>
      </c>
    </row>
    <row r="16" spans="1:9" x14ac:dyDescent="0.25">
      <c r="A16" s="14" t="str">
        <f>A23</f>
        <v>Rent</v>
      </c>
      <c r="B16" s="26">
        <f t="shared" ref="B16:D19" si="4">B$15*$B23</f>
        <v>250</v>
      </c>
      <c r="C16" s="26">
        <f t="shared" si="4"/>
        <v>500</v>
      </c>
      <c r="D16" s="26">
        <f t="shared" si="4"/>
        <v>625</v>
      </c>
    </row>
    <row r="17" spans="1:4" x14ac:dyDescent="0.25">
      <c r="A17" s="14" t="str">
        <f>A24</f>
        <v>Operating Expense</v>
      </c>
      <c r="B17" s="26">
        <f t="shared" si="4"/>
        <v>350</v>
      </c>
      <c r="C17" s="26">
        <f t="shared" si="4"/>
        <v>700</v>
      </c>
      <c r="D17" s="26">
        <f t="shared" si="4"/>
        <v>875</v>
      </c>
    </row>
    <row r="18" spans="1:4" x14ac:dyDescent="0.25">
      <c r="A18" s="14" t="str">
        <f>A25</f>
        <v>Admin Expenses</v>
      </c>
      <c r="B18" s="26">
        <f t="shared" si="4"/>
        <v>100</v>
      </c>
      <c r="C18" s="26">
        <f t="shared" si="4"/>
        <v>200</v>
      </c>
      <c r="D18" s="26">
        <f t="shared" si="4"/>
        <v>250</v>
      </c>
    </row>
    <row r="19" spans="1:4" x14ac:dyDescent="0.25">
      <c r="A19" s="14" t="str">
        <f>A26</f>
        <v>Misc. Expenses</v>
      </c>
      <c r="B19" s="26">
        <f t="shared" si="4"/>
        <v>85</v>
      </c>
      <c r="C19" s="26">
        <f t="shared" si="4"/>
        <v>170</v>
      </c>
      <c r="D19" s="26">
        <f t="shared" si="4"/>
        <v>212.50000000000003</v>
      </c>
    </row>
    <row r="20" spans="1:4" x14ac:dyDescent="0.25">
      <c r="A20" s="14" t="s">
        <v>13</v>
      </c>
      <c r="B20" s="26">
        <f>SUM(B16:B19)</f>
        <v>785</v>
      </c>
      <c r="C20" s="26">
        <f>SUM(C16:C19)</f>
        <v>1570</v>
      </c>
      <c r="D20" s="26">
        <f>SUM(D16:D19)</f>
        <v>1962.5</v>
      </c>
    </row>
    <row r="21" spans="1:4" x14ac:dyDescent="0.25">
      <c r="A21" s="14" t="s">
        <v>6</v>
      </c>
      <c r="B21" s="26">
        <f>B15-B20</f>
        <v>215</v>
      </c>
      <c r="C21" s="26">
        <f>C15-C20</f>
        <v>430</v>
      </c>
      <c r="D21" s="26">
        <f>D15-D20</f>
        <v>537.5</v>
      </c>
    </row>
    <row r="23" spans="1:4" x14ac:dyDescent="0.25">
      <c r="A23" s="60" t="s">
        <v>67</v>
      </c>
      <c r="B23" s="17">
        <v>0.25</v>
      </c>
    </row>
    <row r="24" spans="1:4" x14ac:dyDescent="0.25">
      <c r="A24" s="60" t="s">
        <v>68</v>
      </c>
      <c r="B24" s="17">
        <v>0.35</v>
      </c>
    </row>
    <row r="25" spans="1:4" x14ac:dyDescent="0.25">
      <c r="A25" s="60" t="s">
        <v>69</v>
      </c>
      <c r="B25" s="17">
        <v>0.1</v>
      </c>
    </row>
    <row r="26" spans="1:4" x14ac:dyDescent="0.25">
      <c r="A26" s="60" t="s">
        <v>70</v>
      </c>
      <c r="B26" s="17">
        <v>8.5000000000000006E-2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0000FF"/>
  </sheetPr>
  <dimension ref="A1:E52"/>
  <sheetViews>
    <sheetView zoomScale="145" zoomScaleNormal="145" workbookViewId="0">
      <selection activeCell="E61" sqref="E61"/>
    </sheetView>
  </sheetViews>
  <sheetFormatPr defaultColWidth="17.140625" defaultRowHeight="15" x14ac:dyDescent="0.25"/>
  <cols>
    <col min="1" max="1" width="11.85546875" bestFit="1" customWidth="1"/>
    <col min="2" max="2" width="14.85546875" customWidth="1"/>
    <col min="3" max="3" width="12.7109375" customWidth="1"/>
    <col min="257" max="257" width="11.85546875" bestFit="1" customWidth="1"/>
    <col min="258" max="258" width="10.42578125" bestFit="1" customWidth="1"/>
    <col min="513" max="513" width="11.85546875" bestFit="1" customWidth="1"/>
    <col min="514" max="514" width="10.42578125" bestFit="1" customWidth="1"/>
    <col min="769" max="769" width="11.85546875" bestFit="1" customWidth="1"/>
    <col min="770" max="770" width="10.42578125" bestFit="1" customWidth="1"/>
    <col min="1025" max="1025" width="11.85546875" bestFit="1" customWidth="1"/>
    <col min="1026" max="1026" width="10.42578125" bestFit="1" customWidth="1"/>
    <col min="1281" max="1281" width="11.85546875" bestFit="1" customWidth="1"/>
    <col min="1282" max="1282" width="10.42578125" bestFit="1" customWidth="1"/>
    <col min="1537" max="1537" width="11.85546875" bestFit="1" customWidth="1"/>
    <col min="1538" max="1538" width="10.42578125" bestFit="1" customWidth="1"/>
    <col min="1793" max="1793" width="11.85546875" bestFit="1" customWidth="1"/>
    <col min="1794" max="1794" width="10.42578125" bestFit="1" customWidth="1"/>
    <col min="2049" max="2049" width="11.85546875" bestFit="1" customWidth="1"/>
    <col min="2050" max="2050" width="10.42578125" bestFit="1" customWidth="1"/>
    <col min="2305" max="2305" width="11.85546875" bestFit="1" customWidth="1"/>
    <col min="2306" max="2306" width="10.42578125" bestFit="1" customWidth="1"/>
    <col min="2561" max="2561" width="11.85546875" bestFit="1" customWidth="1"/>
    <col min="2562" max="2562" width="10.42578125" bestFit="1" customWidth="1"/>
    <col min="2817" max="2817" width="11.85546875" bestFit="1" customWidth="1"/>
    <col min="2818" max="2818" width="10.42578125" bestFit="1" customWidth="1"/>
    <col min="3073" max="3073" width="11.85546875" bestFit="1" customWidth="1"/>
    <col min="3074" max="3074" width="10.42578125" bestFit="1" customWidth="1"/>
    <col min="3329" max="3329" width="11.85546875" bestFit="1" customWidth="1"/>
    <col min="3330" max="3330" width="10.42578125" bestFit="1" customWidth="1"/>
    <col min="3585" max="3585" width="11.85546875" bestFit="1" customWidth="1"/>
    <col min="3586" max="3586" width="10.42578125" bestFit="1" customWidth="1"/>
    <col min="3841" max="3841" width="11.85546875" bestFit="1" customWidth="1"/>
    <col min="3842" max="3842" width="10.42578125" bestFit="1" customWidth="1"/>
    <col min="4097" max="4097" width="11.85546875" bestFit="1" customWidth="1"/>
    <col min="4098" max="4098" width="10.42578125" bestFit="1" customWidth="1"/>
    <col min="4353" max="4353" width="11.85546875" bestFit="1" customWidth="1"/>
    <col min="4354" max="4354" width="10.42578125" bestFit="1" customWidth="1"/>
    <col min="4609" max="4609" width="11.85546875" bestFit="1" customWidth="1"/>
    <col min="4610" max="4610" width="10.42578125" bestFit="1" customWidth="1"/>
    <col min="4865" max="4865" width="11.85546875" bestFit="1" customWidth="1"/>
    <col min="4866" max="4866" width="10.42578125" bestFit="1" customWidth="1"/>
    <col min="5121" max="5121" width="11.85546875" bestFit="1" customWidth="1"/>
    <col min="5122" max="5122" width="10.42578125" bestFit="1" customWidth="1"/>
    <col min="5377" max="5377" width="11.85546875" bestFit="1" customWidth="1"/>
    <col min="5378" max="5378" width="10.42578125" bestFit="1" customWidth="1"/>
    <col min="5633" max="5633" width="11.85546875" bestFit="1" customWidth="1"/>
    <col min="5634" max="5634" width="10.42578125" bestFit="1" customWidth="1"/>
    <col min="5889" max="5889" width="11.85546875" bestFit="1" customWidth="1"/>
    <col min="5890" max="5890" width="10.42578125" bestFit="1" customWidth="1"/>
    <col min="6145" max="6145" width="11.85546875" bestFit="1" customWidth="1"/>
    <col min="6146" max="6146" width="10.42578125" bestFit="1" customWidth="1"/>
    <col min="6401" max="6401" width="11.85546875" bestFit="1" customWidth="1"/>
    <col min="6402" max="6402" width="10.42578125" bestFit="1" customWidth="1"/>
    <col min="6657" max="6657" width="11.85546875" bestFit="1" customWidth="1"/>
    <col min="6658" max="6658" width="10.42578125" bestFit="1" customWidth="1"/>
    <col min="6913" max="6913" width="11.85546875" bestFit="1" customWidth="1"/>
    <col min="6914" max="6914" width="10.42578125" bestFit="1" customWidth="1"/>
    <col min="7169" max="7169" width="11.85546875" bestFit="1" customWidth="1"/>
    <col min="7170" max="7170" width="10.42578125" bestFit="1" customWidth="1"/>
    <col min="7425" max="7425" width="11.85546875" bestFit="1" customWidth="1"/>
    <col min="7426" max="7426" width="10.42578125" bestFit="1" customWidth="1"/>
    <col min="7681" max="7681" width="11.85546875" bestFit="1" customWidth="1"/>
    <col min="7682" max="7682" width="10.42578125" bestFit="1" customWidth="1"/>
    <col min="7937" max="7937" width="11.85546875" bestFit="1" customWidth="1"/>
    <col min="7938" max="7938" width="10.42578125" bestFit="1" customWidth="1"/>
    <col min="8193" max="8193" width="11.85546875" bestFit="1" customWidth="1"/>
    <col min="8194" max="8194" width="10.42578125" bestFit="1" customWidth="1"/>
    <col min="8449" max="8449" width="11.85546875" bestFit="1" customWidth="1"/>
    <col min="8450" max="8450" width="10.42578125" bestFit="1" customWidth="1"/>
    <col min="8705" max="8705" width="11.85546875" bestFit="1" customWidth="1"/>
    <col min="8706" max="8706" width="10.42578125" bestFit="1" customWidth="1"/>
    <col min="8961" max="8961" width="11.85546875" bestFit="1" customWidth="1"/>
    <col min="8962" max="8962" width="10.42578125" bestFit="1" customWidth="1"/>
    <col min="9217" max="9217" width="11.85546875" bestFit="1" customWidth="1"/>
    <col min="9218" max="9218" width="10.42578125" bestFit="1" customWidth="1"/>
    <col min="9473" max="9473" width="11.85546875" bestFit="1" customWidth="1"/>
    <col min="9474" max="9474" width="10.42578125" bestFit="1" customWidth="1"/>
    <col min="9729" max="9729" width="11.85546875" bestFit="1" customWidth="1"/>
    <col min="9730" max="9730" width="10.42578125" bestFit="1" customWidth="1"/>
    <col min="9985" max="9985" width="11.85546875" bestFit="1" customWidth="1"/>
    <col min="9986" max="9986" width="10.42578125" bestFit="1" customWidth="1"/>
    <col min="10241" max="10241" width="11.85546875" bestFit="1" customWidth="1"/>
    <col min="10242" max="10242" width="10.42578125" bestFit="1" customWidth="1"/>
    <col min="10497" max="10497" width="11.85546875" bestFit="1" customWidth="1"/>
    <col min="10498" max="10498" width="10.42578125" bestFit="1" customWidth="1"/>
    <col min="10753" max="10753" width="11.85546875" bestFit="1" customWidth="1"/>
    <col min="10754" max="10754" width="10.42578125" bestFit="1" customWidth="1"/>
    <col min="11009" max="11009" width="11.85546875" bestFit="1" customWidth="1"/>
    <col min="11010" max="11010" width="10.42578125" bestFit="1" customWidth="1"/>
    <col min="11265" max="11265" width="11.85546875" bestFit="1" customWidth="1"/>
    <col min="11266" max="11266" width="10.42578125" bestFit="1" customWidth="1"/>
    <col min="11521" max="11521" width="11.85546875" bestFit="1" customWidth="1"/>
    <col min="11522" max="11522" width="10.42578125" bestFit="1" customWidth="1"/>
    <col min="11777" max="11777" width="11.85546875" bestFit="1" customWidth="1"/>
    <col min="11778" max="11778" width="10.42578125" bestFit="1" customWidth="1"/>
    <col min="12033" max="12033" width="11.85546875" bestFit="1" customWidth="1"/>
    <col min="12034" max="12034" width="10.42578125" bestFit="1" customWidth="1"/>
    <col min="12289" max="12289" width="11.85546875" bestFit="1" customWidth="1"/>
    <col min="12290" max="12290" width="10.42578125" bestFit="1" customWidth="1"/>
    <col min="12545" max="12545" width="11.85546875" bestFit="1" customWidth="1"/>
    <col min="12546" max="12546" width="10.42578125" bestFit="1" customWidth="1"/>
    <col min="12801" max="12801" width="11.85546875" bestFit="1" customWidth="1"/>
    <col min="12802" max="12802" width="10.42578125" bestFit="1" customWidth="1"/>
    <col min="13057" max="13057" width="11.85546875" bestFit="1" customWidth="1"/>
    <col min="13058" max="13058" width="10.42578125" bestFit="1" customWidth="1"/>
    <col min="13313" max="13313" width="11.85546875" bestFit="1" customWidth="1"/>
    <col min="13314" max="13314" width="10.42578125" bestFit="1" customWidth="1"/>
    <col min="13569" max="13569" width="11.85546875" bestFit="1" customWidth="1"/>
    <col min="13570" max="13570" width="10.42578125" bestFit="1" customWidth="1"/>
    <col min="13825" max="13825" width="11.85546875" bestFit="1" customWidth="1"/>
    <col min="13826" max="13826" width="10.42578125" bestFit="1" customWidth="1"/>
    <col min="14081" max="14081" width="11.85546875" bestFit="1" customWidth="1"/>
    <col min="14082" max="14082" width="10.42578125" bestFit="1" customWidth="1"/>
    <col min="14337" max="14337" width="11.85546875" bestFit="1" customWidth="1"/>
    <col min="14338" max="14338" width="10.42578125" bestFit="1" customWidth="1"/>
    <col min="14593" max="14593" width="11.85546875" bestFit="1" customWidth="1"/>
    <col min="14594" max="14594" width="10.42578125" bestFit="1" customWidth="1"/>
    <col min="14849" max="14849" width="11.85546875" bestFit="1" customWidth="1"/>
    <col min="14850" max="14850" width="10.42578125" bestFit="1" customWidth="1"/>
    <col min="15105" max="15105" width="11.85546875" bestFit="1" customWidth="1"/>
    <col min="15106" max="15106" width="10.42578125" bestFit="1" customWidth="1"/>
    <col min="15361" max="15361" width="11.85546875" bestFit="1" customWidth="1"/>
    <col min="15362" max="15362" width="10.42578125" bestFit="1" customWidth="1"/>
    <col min="15617" max="15617" width="11.85546875" bestFit="1" customWidth="1"/>
    <col min="15618" max="15618" width="10.42578125" bestFit="1" customWidth="1"/>
    <col min="15873" max="15873" width="11.85546875" bestFit="1" customWidth="1"/>
    <col min="15874" max="15874" width="10.42578125" bestFit="1" customWidth="1"/>
    <col min="16129" max="16129" width="11.85546875" bestFit="1" customWidth="1"/>
    <col min="16130" max="16130" width="10.42578125" bestFit="1" customWidth="1"/>
  </cols>
  <sheetData>
    <row r="1" spans="1:5" ht="30" x14ac:dyDescent="0.25">
      <c r="A1" s="20" t="s">
        <v>72</v>
      </c>
      <c r="B1" s="20"/>
      <c r="C1" s="20"/>
      <c r="D1" s="20"/>
      <c r="E1" s="20"/>
    </row>
    <row r="4" spans="1:5" ht="30" x14ac:dyDescent="0.25">
      <c r="A4" s="1" t="s">
        <v>73</v>
      </c>
      <c r="B4" s="1" t="s">
        <v>26</v>
      </c>
      <c r="C4" s="61" t="s">
        <v>74</v>
      </c>
    </row>
    <row r="5" spans="1:5" x14ac:dyDescent="0.25">
      <c r="A5" s="3" t="s">
        <v>75</v>
      </c>
      <c r="B5" s="26">
        <v>1161</v>
      </c>
      <c r="C5" s="62">
        <f>B5*AssumptionsFor5!$B$2</f>
        <v>46.44</v>
      </c>
    </row>
    <row r="6" spans="1:5" x14ac:dyDescent="0.25">
      <c r="A6" s="3" t="s">
        <v>76</v>
      </c>
      <c r="B6" s="26">
        <v>1321</v>
      </c>
      <c r="C6" s="62">
        <f>B6*AssumptionsFor5!$B$2</f>
        <v>52.84</v>
      </c>
    </row>
    <row r="7" spans="1:5" x14ac:dyDescent="0.25">
      <c r="A7" s="3" t="s">
        <v>77</v>
      </c>
      <c r="B7" s="26">
        <v>1039</v>
      </c>
      <c r="C7" s="62">
        <f>B7*AssumptionsFor5!$B$2</f>
        <v>41.56</v>
      </c>
    </row>
    <row r="8" spans="1:5" x14ac:dyDescent="0.25">
      <c r="A8" s="3" t="s">
        <v>78</v>
      </c>
      <c r="B8" s="26">
        <v>1761</v>
      </c>
      <c r="C8" s="62">
        <f>B8*AssumptionsFor5!$B$2</f>
        <v>70.44</v>
      </c>
    </row>
    <row r="9" spans="1:5" x14ac:dyDescent="0.25">
      <c r="A9" s="3" t="s">
        <v>79</v>
      </c>
      <c r="B9" s="26">
        <v>1561</v>
      </c>
      <c r="C9" s="62">
        <f>B9*AssumptionsFor5!$B$2</f>
        <v>62.440000000000005</v>
      </c>
    </row>
    <row r="10" spans="1:5" x14ac:dyDescent="0.25">
      <c r="A10" s="3" t="s">
        <v>80</v>
      </c>
      <c r="B10" s="26">
        <v>1868</v>
      </c>
      <c r="C10" s="62">
        <f>B10*AssumptionsFor5!$B$2</f>
        <v>74.72</v>
      </c>
    </row>
    <row r="11" spans="1:5" x14ac:dyDescent="0.25">
      <c r="A11" s="3" t="s">
        <v>81</v>
      </c>
      <c r="B11" s="26">
        <v>2787</v>
      </c>
      <c r="C11" s="62">
        <f>B11*AssumptionsFor5!$B$2</f>
        <v>111.48</v>
      </c>
    </row>
    <row r="12" spans="1:5" x14ac:dyDescent="0.25">
      <c r="A12" s="3" t="s">
        <v>82</v>
      </c>
      <c r="B12" s="26">
        <v>1849</v>
      </c>
      <c r="C12" s="62">
        <f>B12*AssumptionsFor5!$B$2</f>
        <v>73.960000000000008</v>
      </c>
    </row>
    <row r="13" spans="1:5" x14ac:dyDescent="0.25">
      <c r="A13" s="3" t="s">
        <v>83</v>
      </c>
      <c r="B13" s="26">
        <v>2627</v>
      </c>
      <c r="C13" s="62">
        <f>B13*AssumptionsFor5!$B$2</f>
        <v>105.08</v>
      </c>
    </row>
    <row r="14" spans="1:5" x14ac:dyDescent="0.25">
      <c r="A14" s="3" t="s">
        <v>84</v>
      </c>
      <c r="B14" s="26">
        <v>2165</v>
      </c>
      <c r="C14" s="62">
        <f>B14*AssumptionsFor5!$B$2</f>
        <v>86.600000000000009</v>
      </c>
    </row>
    <row r="15" spans="1:5" x14ac:dyDescent="0.25">
      <c r="A15" s="3" t="s">
        <v>85</v>
      </c>
      <c r="B15" s="26">
        <v>1589</v>
      </c>
      <c r="C15" s="62">
        <f>B15*AssumptionsFor5!$B$2</f>
        <v>63.56</v>
      </c>
    </row>
    <row r="16" spans="1:5" x14ac:dyDescent="0.25">
      <c r="A16" s="3" t="s">
        <v>86</v>
      </c>
      <c r="B16" s="26">
        <v>2603</v>
      </c>
      <c r="C16" s="62">
        <f>B16*AssumptionsFor5!$B$2</f>
        <v>104.12</v>
      </c>
    </row>
    <row r="17" spans="1:3" x14ac:dyDescent="0.25">
      <c r="A17" s="3" t="s">
        <v>87</v>
      </c>
      <c r="B17" s="26">
        <v>2366</v>
      </c>
      <c r="C17" s="62">
        <f>B17*AssumptionsFor5!$B$2</f>
        <v>94.64</v>
      </c>
    </row>
    <row r="18" spans="1:3" x14ac:dyDescent="0.25">
      <c r="A18" s="3" t="s">
        <v>88</v>
      </c>
      <c r="B18" s="26">
        <v>2107</v>
      </c>
      <c r="C18" s="62">
        <f>B18*AssumptionsFor5!$B$2</f>
        <v>84.28</v>
      </c>
    </row>
    <row r="19" spans="1:3" x14ac:dyDescent="0.25">
      <c r="A19" s="3" t="s">
        <v>89</v>
      </c>
      <c r="B19" s="26">
        <v>2886</v>
      </c>
      <c r="C19" s="62">
        <f>B19*AssumptionsFor5!$B$2</f>
        <v>115.44</v>
      </c>
    </row>
    <row r="20" spans="1:3" x14ac:dyDescent="0.25">
      <c r="A20" s="3" t="s">
        <v>90</v>
      </c>
      <c r="B20" s="26">
        <v>1886</v>
      </c>
      <c r="C20" s="62">
        <f>B20*AssumptionsFor5!$B$2</f>
        <v>75.44</v>
      </c>
    </row>
    <row r="21" spans="1:3" x14ac:dyDescent="0.25">
      <c r="A21" s="3" t="s">
        <v>91</v>
      </c>
      <c r="B21" s="26">
        <v>2177</v>
      </c>
      <c r="C21" s="62">
        <f>B21*AssumptionsFor5!$B$2</f>
        <v>87.08</v>
      </c>
    </row>
    <row r="22" spans="1:3" x14ac:dyDescent="0.25">
      <c r="A22" s="3" t="s">
        <v>92</v>
      </c>
      <c r="B22" s="26">
        <v>1873</v>
      </c>
      <c r="C22" s="62">
        <f>B22*AssumptionsFor5!$B$2</f>
        <v>74.92</v>
      </c>
    </row>
    <row r="23" spans="1:3" x14ac:dyDescent="0.25">
      <c r="A23" s="3" t="s">
        <v>93</v>
      </c>
      <c r="B23" s="26">
        <v>2164</v>
      </c>
      <c r="C23" s="62">
        <f>B23*AssumptionsFor5!$B$2</f>
        <v>86.56</v>
      </c>
    </row>
    <row r="24" spans="1:3" x14ac:dyDescent="0.25">
      <c r="A24" s="3" t="s">
        <v>94</v>
      </c>
      <c r="B24" s="26">
        <v>1394</v>
      </c>
      <c r="C24" s="62">
        <f>B24*AssumptionsFor5!$B$2</f>
        <v>55.76</v>
      </c>
    </row>
    <row r="25" spans="1:3" x14ac:dyDescent="0.25">
      <c r="A25" s="3" t="s">
        <v>95</v>
      </c>
      <c r="B25" s="26">
        <v>2263</v>
      </c>
      <c r="C25" s="62">
        <f>B25*AssumptionsFor5!$B$2</f>
        <v>90.52</v>
      </c>
    </row>
    <row r="26" spans="1:3" x14ac:dyDescent="0.25">
      <c r="A26" s="3" t="s">
        <v>96</v>
      </c>
      <c r="B26" s="26">
        <v>2242</v>
      </c>
      <c r="C26" s="62">
        <f>B26*AssumptionsFor5!$B$2</f>
        <v>89.68</v>
      </c>
    </row>
    <row r="27" spans="1:3" x14ac:dyDescent="0.25">
      <c r="A27" s="3" t="s">
        <v>97</v>
      </c>
      <c r="B27" s="26">
        <v>1474</v>
      </c>
      <c r="C27" s="62">
        <f>B27*AssumptionsFor5!$B$2</f>
        <v>58.96</v>
      </c>
    </row>
    <row r="28" spans="1:3" x14ac:dyDescent="0.25">
      <c r="A28" s="3" t="s">
        <v>98</v>
      </c>
      <c r="B28" s="26">
        <v>1998</v>
      </c>
      <c r="C28" s="62">
        <f>B28*AssumptionsFor5!$B$2</f>
        <v>79.92</v>
      </c>
    </row>
    <row r="29" spans="1:3" x14ac:dyDescent="0.25">
      <c r="A29" s="3" t="s">
        <v>99</v>
      </c>
      <c r="B29" s="26">
        <v>2892</v>
      </c>
      <c r="C29" s="62">
        <f>B29*AssumptionsFor5!$B$2</f>
        <v>115.68</v>
      </c>
    </row>
    <row r="30" spans="1:3" x14ac:dyDescent="0.25">
      <c r="A30" s="3" t="s">
        <v>100</v>
      </c>
      <c r="B30" s="26">
        <v>1873</v>
      </c>
      <c r="C30" s="62">
        <f>B30*AssumptionsFor5!$B$2</f>
        <v>74.92</v>
      </c>
    </row>
    <row r="31" spans="1:3" x14ac:dyDescent="0.25">
      <c r="A31" s="3" t="s">
        <v>101</v>
      </c>
      <c r="B31" s="26">
        <v>1954</v>
      </c>
      <c r="C31" s="62">
        <f>B31*AssumptionsFor5!$B$2</f>
        <v>78.16</v>
      </c>
    </row>
    <row r="32" spans="1:3" x14ac:dyDescent="0.25">
      <c r="A32" s="3" t="s">
        <v>102</v>
      </c>
      <c r="B32" s="26">
        <v>1729</v>
      </c>
      <c r="C32" s="62">
        <f>B32*AssumptionsFor5!$B$2</f>
        <v>69.16</v>
      </c>
    </row>
    <row r="33" spans="1:3" x14ac:dyDescent="0.25">
      <c r="A33" s="3" t="s">
        <v>103</v>
      </c>
      <c r="B33" s="26">
        <v>1140</v>
      </c>
      <c r="C33" s="62">
        <f>B33*AssumptionsFor5!$B$2</f>
        <v>45.6</v>
      </c>
    </row>
    <row r="34" spans="1:3" x14ac:dyDescent="0.25">
      <c r="A34" s="3" t="s">
        <v>104</v>
      </c>
      <c r="B34" s="26">
        <v>1528</v>
      </c>
      <c r="C34" s="62">
        <f>B34*AssumptionsFor5!$B$2</f>
        <v>61.120000000000005</v>
      </c>
    </row>
    <row r="35" spans="1:3" x14ac:dyDescent="0.25">
      <c r="A35" s="3" t="s">
        <v>105</v>
      </c>
      <c r="B35" s="26">
        <v>1659</v>
      </c>
      <c r="C35" s="62">
        <f>B35*AssumptionsFor5!$B$2</f>
        <v>66.36</v>
      </c>
    </row>
    <row r="36" spans="1:3" x14ac:dyDescent="0.25">
      <c r="A36" s="3" t="s">
        <v>106</v>
      </c>
      <c r="B36" s="26">
        <v>2119</v>
      </c>
      <c r="C36" s="62">
        <f>B36*AssumptionsFor5!$B$2</f>
        <v>84.76</v>
      </c>
    </row>
    <row r="37" spans="1:3" x14ac:dyDescent="0.25">
      <c r="A37" s="3" t="s">
        <v>107</v>
      </c>
      <c r="B37" s="26">
        <v>1854</v>
      </c>
      <c r="C37" s="62">
        <f>B37*AssumptionsFor5!$B$2</f>
        <v>74.16</v>
      </c>
    </row>
    <row r="38" spans="1:3" x14ac:dyDescent="0.25">
      <c r="A38" s="3" t="s">
        <v>108</v>
      </c>
      <c r="B38" s="26">
        <v>2759</v>
      </c>
      <c r="C38" s="62">
        <f>B38*AssumptionsFor5!$B$2</f>
        <v>110.36</v>
      </c>
    </row>
    <row r="39" spans="1:3" x14ac:dyDescent="0.25">
      <c r="A39" s="3" t="s">
        <v>109</v>
      </c>
      <c r="B39" s="26">
        <v>1237</v>
      </c>
      <c r="C39" s="62">
        <f>B39*AssumptionsFor5!$B$2</f>
        <v>49.480000000000004</v>
      </c>
    </row>
    <row r="40" spans="1:3" x14ac:dyDescent="0.25">
      <c r="A40" s="3" t="s">
        <v>110</v>
      </c>
      <c r="B40" s="26">
        <v>1653</v>
      </c>
      <c r="C40" s="62">
        <f>B40*AssumptionsFor5!$B$2</f>
        <v>66.12</v>
      </c>
    </row>
    <row r="41" spans="1:3" x14ac:dyDescent="0.25">
      <c r="A41" s="3" t="s">
        <v>111</v>
      </c>
      <c r="B41" s="26">
        <v>2604</v>
      </c>
      <c r="C41" s="62">
        <f>B41*AssumptionsFor5!$B$2</f>
        <v>104.16</v>
      </c>
    </row>
    <row r="42" spans="1:3" x14ac:dyDescent="0.25">
      <c r="A42" s="3" t="s">
        <v>112</v>
      </c>
      <c r="B42" s="26">
        <v>1479</v>
      </c>
      <c r="C42" s="62">
        <f>B42*AssumptionsFor5!$B$2</f>
        <v>59.160000000000004</v>
      </c>
    </row>
    <row r="43" spans="1:3" x14ac:dyDescent="0.25">
      <c r="A43" s="3" t="s">
        <v>113</v>
      </c>
      <c r="B43" s="26">
        <v>2569</v>
      </c>
      <c r="C43" s="62">
        <f>B43*AssumptionsFor5!$B$2</f>
        <v>102.76</v>
      </c>
    </row>
    <row r="44" spans="1:3" x14ac:dyDescent="0.25">
      <c r="A44" s="3" t="s">
        <v>114</v>
      </c>
      <c r="B44" s="26">
        <v>1941</v>
      </c>
      <c r="C44" s="62">
        <f>B44*AssumptionsFor5!$B$2</f>
        <v>77.64</v>
      </c>
    </row>
    <row r="45" spans="1:3" x14ac:dyDescent="0.25">
      <c r="A45" s="3" t="s">
        <v>115</v>
      </c>
      <c r="B45" s="26">
        <v>2793</v>
      </c>
      <c r="C45" s="62">
        <f>B45*AssumptionsFor5!$B$2</f>
        <v>111.72</v>
      </c>
    </row>
    <row r="46" spans="1:3" x14ac:dyDescent="0.25">
      <c r="A46" s="3" t="s">
        <v>116</v>
      </c>
      <c r="B46" s="26">
        <v>2614</v>
      </c>
      <c r="C46" s="62">
        <f>B46*AssumptionsFor5!$B$2</f>
        <v>104.56</v>
      </c>
    </row>
    <row r="47" spans="1:3" x14ac:dyDescent="0.25">
      <c r="A47" s="3" t="s">
        <v>117</v>
      </c>
      <c r="B47" s="26">
        <v>1645</v>
      </c>
      <c r="C47" s="62">
        <f>B47*AssumptionsFor5!$B$2</f>
        <v>65.8</v>
      </c>
    </row>
    <row r="48" spans="1:3" x14ac:dyDescent="0.25">
      <c r="A48" s="3" t="s">
        <v>118</v>
      </c>
      <c r="B48" s="26">
        <v>1733</v>
      </c>
      <c r="C48" s="62">
        <f>B48*AssumptionsFor5!$B$2</f>
        <v>69.320000000000007</v>
      </c>
    </row>
    <row r="49" spans="1:3" x14ac:dyDescent="0.25">
      <c r="A49" s="3" t="s">
        <v>119</v>
      </c>
      <c r="B49" s="26">
        <v>2466</v>
      </c>
      <c r="C49" s="62">
        <f>B49*AssumptionsFor5!$B$2</f>
        <v>98.64</v>
      </c>
    </row>
    <row r="50" spans="1:3" x14ac:dyDescent="0.25">
      <c r="A50" s="3" t="s">
        <v>120</v>
      </c>
      <c r="B50" s="26">
        <v>2833</v>
      </c>
      <c r="C50" s="62">
        <f>B50*AssumptionsFor5!$B$2</f>
        <v>113.32000000000001</v>
      </c>
    </row>
    <row r="51" spans="1:3" x14ac:dyDescent="0.25">
      <c r="A51" s="3" t="s">
        <v>121</v>
      </c>
      <c r="B51" s="26">
        <v>1604</v>
      </c>
      <c r="C51" s="62">
        <f>B51*AssumptionsFor5!$B$2</f>
        <v>64.16</v>
      </c>
    </row>
    <row r="52" spans="1:3" x14ac:dyDescent="0.25">
      <c r="A52" s="3" t="s">
        <v>122</v>
      </c>
      <c r="B52" s="26">
        <v>2588</v>
      </c>
      <c r="C52" s="62">
        <f>B52*AssumptionsFor5!$B$2</f>
        <v>103.52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0000FF"/>
  </sheetPr>
  <dimension ref="A1:B2"/>
  <sheetViews>
    <sheetView zoomScale="250" zoomScaleNormal="250" workbookViewId="0">
      <selection activeCell="B2" sqref="B2"/>
    </sheetView>
  </sheetViews>
  <sheetFormatPr defaultColWidth="9.140625" defaultRowHeight="15" x14ac:dyDescent="0.25"/>
  <cols>
    <col min="1" max="1" width="20.42578125" customWidth="1"/>
  </cols>
  <sheetData>
    <row r="1" spans="1:2" ht="30" x14ac:dyDescent="0.25">
      <c r="A1" s="16" t="s">
        <v>123</v>
      </c>
      <c r="B1" s="16"/>
    </row>
    <row r="2" spans="1:2" x14ac:dyDescent="0.25">
      <c r="A2" s="63" t="s">
        <v>124</v>
      </c>
      <c r="B2" s="3">
        <v>0.04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0000"/>
  </sheetPr>
  <dimension ref="A1:E52"/>
  <sheetViews>
    <sheetView zoomScale="190" zoomScaleNormal="190" workbookViewId="0">
      <selection activeCell="C5" sqref="C5"/>
    </sheetView>
  </sheetViews>
  <sheetFormatPr defaultColWidth="17.140625" defaultRowHeight="15" x14ac:dyDescent="0.25"/>
  <cols>
    <col min="1" max="1" width="11.85546875" bestFit="1" customWidth="1"/>
    <col min="2" max="2" width="9.85546875" bestFit="1" customWidth="1"/>
    <col min="3" max="3" width="13.42578125" customWidth="1"/>
    <col min="257" max="257" width="11.85546875" bestFit="1" customWidth="1"/>
    <col min="258" max="258" width="10.42578125" bestFit="1" customWidth="1"/>
    <col min="513" max="513" width="11.85546875" bestFit="1" customWidth="1"/>
    <col min="514" max="514" width="10.42578125" bestFit="1" customWidth="1"/>
    <col min="769" max="769" width="11.85546875" bestFit="1" customWidth="1"/>
    <col min="770" max="770" width="10.42578125" bestFit="1" customWidth="1"/>
    <col min="1025" max="1025" width="11.85546875" bestFit="1" customWidth="1"/>
    <col min="1026" max="1026" width="10.42578125" bestFit="1" customWidth="1"/>
    <col min="1281" max="1281" width="11.85546875" bestFit="1" customWidth="1"/>
    <col min="1282" max="1282" width="10.42578125" bestFit="1" customWidth="1"/>
    <col min="1537" max="1537" width="11.85546875" bestFit="1" customWidth="1"/>
    <col min="1538" max="1538" width="10.42578125" bestFit="1" customWidth="1"/>
    <col min="1793" max="1793" width="11.85546875" bestFit="1" customWidth="1"/>
    <col min="1794" max="1794" width="10.42578125" bestFit="1" customWidth="1"/>
    <col min="2049" max="2049" width="11.85546875" bestFit="1" customWidth="1"/>
    <col min="2050" max="2050" width="10.42578125" bestFit="1" customWidth="1"/>
    <col min="2305" max="2305" width="11.85546875" bestFit="1" customWidth="1"/>
    <col min="2306" max="2306" width="10.42578125" bestFit="1" customWidth="1"/>
    <col min="2561" max="2561" width="11.85546875" bestFit="1" customWidth="1"/>
    <col min="2562" max="2562" width="10.42578125" bestFit="1" customWidth="1"/>
    <col min="2817" max="2817" width="11.85546875" bestFit="1" customWidth="1"/>
    <col min="2818" max="2818" width="10.42578125" bestFit="1" customWidth="1"/>
    <col min="3073" max="3073" width="11.85546875" bestFit="1" customWidth="1"/>
    <col min="3074" max="3074" width="10.42578125" bestFit="1" customWidth="1"/>
    <col min="3329" max="3329" width="11.85546875" bestFit="1" customWidth="1"/>
    <col min="3330" max="3330" width="10.42578125" bestFit="1" customWidth="1"/>
    <col min="3585" max="3585" width="11.85546875" bestFit="1" customWidth="1"/>
    <col min="3586" max="3586" width="10.42578125" bestFit="1" customWidth="1"/>
    <col min="3841" max="3841" width="11.85546875" bestFit="1" customWidth="1"/>
    <col min="3842" max="3842" width="10.42578125" bestFit="1" customWidth="1"/>
    <col min="4097" max="4097" width="11.85546875" bestFit="1" customWidth="1"/>
    <col min="4098" max="4098" width="10.42578125" bestFit="1" customWidth="1"/>
    <col min="4353" max="4353" width="11.85546875" bestFit="1" customWidth="1"/>
    <col min="4354" max="4354" width="10.42578125" bestFit="1" customWidth="1"/>
    <col min="4609" max="4609" width="11.85546875" bestFit="1" customWidth="1"/>
    <col min="4610" max="4610" width="10.42578125" bestFit="1" customWidth="1"/>
    <col min="4865" max="4865" width="11.85546875" bestFit="1" customWidth="1"/>
    <col min="4866" max="4866" width="10.42578125" bestFit="1" customWidth="1"/>
    <col min="5121" max="5121" width="11.85546875" bestFit="1" customWidth="1"/>
    <col min="5122" max="5122" width="10.42578125" bestFit="1" customWidth="1"/>
    <col min="5377" max="5377" width="11.85546875" bestFit="1" customWidth="1"/>
    <col min="5378" max="5378" width="10.42578125" bestFit="1" customWidth="1"/>
    <col min="5633" max="5633" width="11.85546875" bestFit="1" customWidth="1"/>
    <col min="5634" max="5634" width="10.42578125" bestFit="1" customWidth="1"/>
    <col min="5889" max="5889" width="11.85546875" bestFit="1" customWidth="1"/>
    <col min="5890" max="5890" width="10.42578125" bestFit="1" customWidth="1"/>
    <col min="6145" max="6145" width="11.85546875" bestFit="1" customWidth="1"/>
    <col min="6146" max="6146" width="10.42578125" bestFit="1" customWidth="1"/>
    <col min="6401" max="6401" width="11.85546875" bestFit="1" customWidth="1"/>
    <col min="6402" max="6402" width="10.42578125" bestFit="1" customWidth="1"/>
    <col min="6657" max="6657" width="11.85546875" bestFit="1" customWidth="1"/>
    <col min="6658" max="6658" width="10.42578125" bestFit="1" customWidth="1"/>
    <col min="6913" max="6913" width="11.85546875" bestFit="1" customWidth="1"/>
    <col min="6914" max="6914" width="10.42578125" bestFit="1" customWidth="1"/>
    <col min="7169" max="7169" width="11.85546875" bestFit="1" customWidth="1"/>
    <col min="7170" max="7170" width="10.42578125" bestFit="1" customWidth="1"/>
    <col min="7425" max="7425" width="11.85546875" bestFit="1" customWidth="1"/>
    <col min="7426" max="7426" width="10.42578125" bestFit="1" customWidth="1"/>
    <col min="7681" max="7681" width="11.85546875" bestFit="1" customWidth="1"/>
    <col min="7682" max="7682" width="10.42578125" bestFit="1" customWidth="1"/>
    <col min="7937" max="7937" width="11.85546875" bestFit="1" customWidth="1"/>
    <col min="7938" max="7938" width="10.42578125" bestFit="1" customWidth="1"/>
    <col min="8193" max="8193" width="11.85546875" bestFit="1" customWidth="1"/>
    <col min="8194" max="8194" width="10.42578125" bestFit="1" customWidth="1"/>
    <col min="8449" max="8449" width="11.85546875" bestFit="1" customWidth="1"/>
    <col min="8450" max="8450" width="10.42578125" bestFit="1" customWidth="1"/>
    <col min="8705" max="8705" width="11.85546875" bestFit="1" customWidth="1"/>
    <col min="8706" max="8706" width="10.42578125" bestFit="1" customWidth="1"/>
    <col min="8961" max="8961" width="11.85546875" bestFit="1" customWidth="1"/>
    <col min="8962" max="8962" width="10.42578125" bestFit="1" customWidth="1"/>
    <col min="9217" max="9217" width="11.85546875" bestFit="1" customWidth="1"/>
    <col min="9218" max="9218" width="10.42578125" bestFit="1" customWidth="1"/>
    <col min="9473" max="9473" width="11.85546875" bestFit="1" customWidth="1"/>
    <col min="9474" max="9474" width="10.42578125" bestFit="1" customWidth="1"/>
    <col min="9729" max="9729" width="11.85546875" bestFit="1" customWidth="1"/>
    <col min="9730" max="9730" width="10.42578125" bestFit="1" customWidth="1"/>
    <col min="9985" max="9985" width="11.85546875" bestFit="1" customWidth="1"/>
    <col min="9986" max="9986" width="10.42578125" bestFit="1" customWidth="1"/>
    <col min="10241" max="10241" width="11.85546875" bestFit="1" customWidth="1"/>
    <col min="10242" max="10242" width="10.42578125" bestFit="1" customWidth="1"/>
    <col min="10497" max="10497" width="11.85546875" bestFit="1" customWidth="1"/>
    <col min="10498" max="10498" width="10.42578125" bestFit="1" customWidth="1"/>
    <col min="10753" max="10753" width="11.85546875" bestFit="1" customWidth="1"/>
    <col min="10754" max="10754" width="10.42578125" bestFit="1" customWidth="1"/>
    <col min="11009" max="11009" width="11.85546875" bestFit="1" customWidth="1"/>
    <col min="11010" max="11010" width="10.42578125" bestFit="1" customWidth="1"/>
    <col min="11265" max="11265" width="11.85546875" bestFit="1" customWidth="1"/>
    <col min="11266" max="11266" width="10.42578125" bestFit="1" customWidth="1"/>
    <col min="11521" max="11521" width="11.85546875" bestFit="1" customWidth="1"/>
    <col min="11522" max="11522" width="10.42578125" bestFit="1" customWidth="1"/>
    <col min="11777" max="11777" width="11.85546875" bestFit="1" customWidth="1"/>
    <col min="11778" max="11778" width="10.42578125" bestFit="1" customWidth="1"/>
    <col min="12033" max="12033" width="11.85546875" bestFit="1" customWidth="1"/>
    <col min="12034" max="12034" width="10.42578125" bestFit="1" customWidth="1"/>
    <col min="12289" max="12289" width="11.85546875" bestFit="1" customWidth="1"/>
    <col min="12290" max="12290" width="10.42578125" bestFit="1" customWidth="1"/>
    <col min="12545" max="12545" width="11.85546875" bestFit="1" customWidth="1"/>
    <col min="12546" max="12546" width="10.42578125" bestFit="1" customWidth="1"/>
    <col min="12801" max="12801" width="11.85546875" bestFit="1" customWidth="1"/>
    <col min="12802" max="12802" width="10.42578125" bestFit="1" customWidth="1"/>
    <col min="13057" max="13057" width="11.85546875" bestFit="1" customWidth="1"/>
    <col min="13058" max="13058" width="10.42578125" bestFit="1" customWidth="1"/>
    <col min="13313" max="13313" width="11.85546875" bestFit="1" customWidth="1"/>
    <col min="13314" max="13314" width="10.42578125" bestFit="1" customWidth="1"/>
    <col min="13569" max="13569" width="11.85546875" bestFit="1" customWidth="1"/>
    <col min="13570" max="13570" width="10.42578125" bestFit="1" customWidth="1"/>
    <col min="13825" max="13825" width="11.85546875" bestFit="1" customWidth="1"/>
    <col min="13826" max="13826" width="10.42578125" bestFit="1" customWidth="1"/>
    <col min="14081" max="14081" width="11.85546875" bestFit="1" customWidth="1"/>
    <col min="14082" max="14082" width="10.42578125" bestFit="1" customWidth="1"/>
    <col min="14337" max="14337" width="11.85546875" bestFit="1" customWidth="1"/>
    <col min="14338" max="14338" width="10.42578125" bestFit="1" customWidth="1"/>
    <col min="14593" max="14593" width="11.85546875" bestFit="1" customWidth="1"/>
    <col min="14594" max="14594" width="10.42578125" bestFit="1" customWidth="1"/>
    <col min="14849" max="14849" width="11.85546875" bestFit="1" customWidth="1"/>
    <col min="14850" max="14850" width="10.42578125" bestFit="1" customWidth="1"/>
    <col min="15105" max="15105" width="11.85546875" bestFit="1" customWidth="1"/>
    <col min="15106" max="15106" width="10.42578125" bestFit="1" customWidth="1"/>
    <col min="15361" max="15361" width="11.85546875" bestFit="1" customWidth="1"/>
    <col min="15362" max="15362" width="10.42578125" bestFit="1" customWidth="1"/>
    <col min="15617" max="15617" width="11.85546875" bestFit="1" customWidth="1"/>
    <col min="15618" max="15618" width="10.42578125" bestFit="1" customWidth="1"/>
    <col min="15873" max="15873" width="11.85546875" bestFit="1" customWidth="1"/>
    <col min="15874" max="15874" width="10.42578125" bestFit="1" customWidth="1"/>
    <col min="16129" max="16129" width="11.85546875" bestFit="1" customWidth="1"/>
    <col min="16130" max="16130" width="10.42578125" bestFit="1" customWidth="1"/>
  </cols>
  <sheetData>
    <row r="1" spans="1:5" ht="30" x14ac:dyDescent="0.25">
      <c r="A1" s="20" t="s">
        <v>72</v>
      </c>
      <c r="B1" s="20"/>
      <c r="C1" s="20"/>
      <c r="D1" s="20"/>
      <c r="E1" s="20"/>
    </row>
    <row r="4" spans="1:5" ht="30" x14ac:dyDescent="0.25">
      <c r="A4" s="1" t="s">
        <v>73</v>
      </c>
      <c r="B4" s="1" t="s">
        <v>26</v>
      </c>
      <c r="C4" s="61" t="s">
        <v>74</v>
      </c>
    </row>
    <row r="5" spans="1:5" x14ac:dyDescent="0.25">
      <c r="A5" s="3" t="s">
        <v>75</v>
      </c>
      <c r="B5" s="26">
        <v>1161</v>
      </c>
      <c r="C5" s="62">
        <f>B5*AssumptionsFor5!B$2</f>
        <v>46.44</v>
      </c>
    </row>
    <row r="6" spans="1:5" x14ac:dyDescent="0.25">
      <c r="A6" s="3" t="s">
        <v>76</v>
      </c>
      <c r="B6" s="26">
        <v>1321</v>
      </c>
      <c r="C6" s="62">
        <f>B6*AssumptionsFor5!B$2</f>
        <v>52.84</v>
      </c>
    </row>
    <row r="7" spans="1:5" x14ac:dyDescent="0.25">
      <c r="A7" s="3" t="s">
        <v>77</v>
      </c>
      <c r="B7" s="26">
        <v>1039</v>
      </c>
      <c r="C7" s="62">
        <f>B7*AssumptionsFor5!B$2</f>
        <v>41.56</v>
      </c>
    </row>
    <row r="8" spans="1:5" x14ac:dyDescent="0.25">
      <c r="A8" s="3" t="s">
        <v>78</v>
      </c>
      <c r="B8" s="26">
        <v>1761</v>
      </c>
      <c r="C8" s="62">
        <f>B8*AssumptionsFor5!B$2</f>
        <v>70.44</v>
      </c>
    </row>
    <row r="9" spans="1:5" x14ac:dyDescent="0.25">
      <c r="A9" s="3" t="s">
        <v>79</v>
      </c>
      <c r="B9" s="26">
        <v>1561</v>
      </c>
      <c r="C9" s="62">
        <f>B9*AssumptionsFor5!B$2</f>
        <v>62.440000000000005</v>
      </c>
    </row>
    <row r="10" spans="1:5" x14ac:dyDescent="0.25">
      <c r="A10" s="3" t="s">
        <v>80</v>
      </c>
      <c r="B10" s="26">
        <v>1868</v>
      </c>
      <c r="C10" s="62">
        <f>B10*AssumptionsFor5!B$2</f>
        <v>74.72</v>
      </c>
    </row>
    <row r="11" spans="1:5" x14ac:dyDescent="0.25">
      <c r="A11" s="3" t="s">
        <v>81</v>
      </c>
      <c r="B11" s="26">
        <v>2787</v>
      </c>
      <c r="C11" s="62">
        <f>B11*AssumptionsFor5!B$2</f>
        <v>111.48</v>
      </c>
    </row>
    <row r="12" spans="1:5" x14ac:dyDescent="0.25">
      <c r="A12" s="3" t="s">
        <v>82</v>
      </c>
      <c r="B12" s="26">
        <v>1849</v>
      </c>
      <c r="C12" s="62">
        <f>B12*AssumptionsFor5!B$2</f>
        <v>73.960000000000008</v>
      </c>
    </row>
    <row r="13" spans="1:5" x14ac:dyDescent="0.25">
      <c r="A13" s="3" t="s">
        <v>83</v>
      </c>
      <c r="B13" s="26">
        <v>2627</v>
      </c>
      <c r="C13" s="62">
        <f>B13*AssumptionsFor5!B$2</f>
        <v>105.08</v>
      </c>
    </row>
    <row r="14" spans="1:5" x14ac:dyDescent="0.25">
      <c r="A14" s="3" t="s">
        <v>84</v>
      </c>
      <c r="B14" s="26">
        <v>2165</v>
      </c>
      <c r="C14" s="62">
        <f>B14*AssumptionsFor5!B$2</f>
        <v>86.600000000000009</v>
      </c>
    </row>
    <row r="15" spans="1:5" x14ac:dyDescent="0.25">
      <c r="A15" s="3" t="s">
        <v>85</v>
      </c>
      <c r="B15" s="26">
        <v>1589</v>
      </c>
      <c r="C15" s="62">
        <f>B15*AssumptionsFor5!B$2</f>
        <v>63.56</v>
      </c>
    </row>
    <row r="16" spans="1:5" x14ac:dyDescent="0.25">
      <c r="A16" s="3" t="s">
        <v>86</v>
      </c>
      <c r="B16" s="26">
        <v>2603</v>
      </c>
      <c r="C16" s="62">
        <f>B16*AssumptionsFor5!B$2</f>
        <v>104.12</v>
      </c>
    </row>
    <row r="17" spans="1:3" x14ac:dyDescent="0.25">
      <c r="A17" s="3" t="s">
        <v>87</v>
      </c>
      <c r="B17" s="26">
        <v>2366</v>
      </c>
      <c r="C17" s="62">
        <f>B17*AssumptionsFor5!B$2</f>
        <v>94.64</v>
      </c>
    </row>
    <row r="18" spans="1:3" x14ac:dyDescent="0.25">
      <c r="A18" s="3" t="s">
        <v>88</v>
      </c>
      <c r="B18" s="26">
        <v>2107</v>
      </c>
      <c r="C18" s="62">
        <f>B18*AssumptionsFor5!B$2</f>
        <v>84.28</v>
      </c>
    </row>
    <row r="19" spans="1:3" x14ac:dyDescent="0.25">
      <c r="A19" s="3" t="s">
        <v>89</v>
      </c>
      <c r="B19" s="26">
        <v>2886</v>
      </c>
      <c r="C19" s="62">
        <f>B19*AssumptionsFor5!B$2</f>
        <v>115.44</v>
      </c>
    </row>
    <row r="20" spans="1:3" x14ac:dyDescent="0.25">
      <c r="A20" s="3" t="s">
        <v>90</v>
      </c>
      <c r="B20" s="26">
        <v>1886</v>
      </c>
      <c r="C20" s="62">
        <f>B20*AssumptionsFor5!B$2</f>
        <v>75.44</v>
      </c>
    </row>
    <row r="21" spans="1:3" x14ac:dyDescent="0.25">
      <c r="A21" s="3" t="s">
        <v>91</v>
      </c>
      <c r="B21" s="26">
        <v>2177</v>
      </c>
      <c r="C21" s="62">
        <f>B21*AssumptionsFor5!B$2</f>
        <v>87.08</v>
      </c>
    </row>
    <row r="22" spans="1:3" x14ac:dyDescent="0.25">
      <c r="A22" s="3" t="s">
        <v>92</v>
      </c>
      <c r="B22" s="26">
        <v>1873</v>
      </c>
      <c r="C22" s="62">
        <f>B22*AssumptionsFor5!B$2</f>
        <v>74.92</v>
      </c>
    </row>
    <row r="23" spans="1:3" x14ac:dyDescent="0.25">
      <c r="A23" s="3" t="s">
        <v>93</v>
      </c>
      <c r="B23" s="26">
        <v>2164</v>
      </c>
      <c r="C23" s="62">
        <f>B23*AssumptionsFor5!B$2</f>
        <v>86.56</v>
      </c>
    </row>
    <row r="24" spans="1:3" x14ac:dyDescent="0.25">
      <c r="A24" s="3" t="s">
        <v>94</v>
      </c>
      <c r="B24" s="26">
        <v>1394</v>
      </c>
      <c r="C24" s="62">
        <f>B24*AssumptionsFor5!B$2</f>
        <v>55.76</v>
      </c>
    </row>
    <row r="25" spans="1:3" x14ac:dyDescent="0.25">
      <c r="A25" s="3" t="s">
        <v>95</v>
      </c>
      <c r="B25" s="26">
        <v>2263</v>
      </c>
      <c r="C25" s="62">
        <f>B25*AssumptionsFor5!B$2</f>
        <v>90.52</v>
      </c>
    </row>
    <row r="26" spans="1:3" x14ac:dyDescent="0.25">
      <c r="A26" s="3" t="s">
        <v>96</v>
      </c>
      <c r="B26" s="26">
        <v>2242</v>
      </c>
      <c r="C26" s="62">
        <f>B26*AssumptionsFor5!B$2</f>
        <v>89.68</v>
      </c>
    </row>
    <row r="27" spans="1:3" x14ac:dyDescent="0.25">
      <c r="A27" s="3" t="s">
        <v>97</v>
      </c>
      <c r="B27" s="26">
        <v>1474</v>
      </c>
      <c r="C27" s="62">
        <f>B27*AssumptionsFor5!B$2</f>
        <v>58.96</v>
      </c>
    </row>
    <row r="28" spans="1:3" x14ac:dyDescent="0.25">
      <c r="A28" s="3" t="s">
        <v>98</v>
      </c>
      <c r="B28" s="26">
        <v>1998</v>
      </c>
      <c r="C28" s="62">
        <f>B28*AssumptionsFor5!B$2</f>
        <v>79.92</v>
      </c>
    </row>
    <row r="29" spans="1:3" x14ac:dyDescent="0.25">
      <c r="A29" s="3" t="s">
        <v>99</v>
      </c>
      <c r="B29" s="26">
        <v>2892</v>
      </c>
      <c r="C29" s="62">
        <f>B29*AssumptionsFor5!B$2</f>
        <v>115.68</v>
      </c>
    </row>
    <row r="30" spans="1:3" x14ac:dyDescent="0.25">
      <c r="A30" s="3" t="s">
        <v>100</v>
      </c>
      <c r="B30" s="26">
        <v>1873</v>
      </c>
      <c r="C30" s="62">
        <f>B30*AssumptionsFor5!B$2</f>
        <v>74.92</v>
      </c>
    </row>
    <row r="31" spans="1:3" x14ac:dyDescent="0.25">
      <c r="A31" s="3" t="s">
        <v>101</v>
      </c>
      <c r="B31" s="26">
        <v>1954</v>
      </c>
      <c r="C31" s="62">
        <f>B31*AssumptionsFor5!B$2</f>
        <v>78.16</v>
      </c>
    </row>
    <row r="32" spans="1:3" x14ac:dyDescent="0.25">
      <c r="A32" s="3" t="s">
        <v>102</v>
      </c>
      <c r="B32" s="26">
        <v>1729</v>
      </c>
      <c r="C32" s="62">
        <f>B32*AssumptionsFor5!B$2</f>
        <v>69.16</v>
      </c>
    </row>
    <row r="33" spans="1:3" x14ac:dyDescent="0.25">
      <c r="A33" s="3" t="s">
        <v>103</v>
      </c>
      <c r="B33" s="26">
        <v>1140</v>
      </c>
      <c r="C33" s="62">
        <f>B33*AssumptionsFor5!B$2</f>
        <v>45.6</v>
      </c>
    </row>
    <row r="34" spans="1:3" x14ac:dyDescent="0.25">
      <c r="A34" s="3" t="s">
        <v>104</v>
      </c>
      <c r="B34" s="26">
        <v>1528</v>
      </c>
      <c r="C34" s="62">
        <f>B34*AssumptionsFor5!B$2</f>
        <v>61.120000000000005</v>
      </c>
    </row>
    <row r="35" spans="1:3" x14ac:dyDescent="0.25">
      <c r="A35" s="3" t="s">
        <v>105</v>
      </c>
      <c r="B35" s="26">
        <v>1659</v>
      </c>
      <c r="C35" s="62">
        <f>B35*AssumptionsFor5!B$2</f>
        <v>66.36</v>
      </c>
    </row>
    <row r="36" spans="1:3" x14ac:dyDescent="0.25">
      <c r="A36" s="3" t="s">
        <v>106</v>
      </c>
      <c r="B36" s="26">
        <v>2119</v>
      </c>
      <c r="C36" s="62">
        <f>B36*AssumptionsFor5!B$2</f>
        <v>84.76</v>
      </c>
    </row>
    <row r="37" spans="1:3" x14ac:dyDescent="0.25">
      <c r="A37" s="3" t="s">
        <v>107</v>
      </c>
      <c r="B37" s="26">
        <v>1854</v>
      </c>
      <c r="C37" s="62">
        <f>B37*AssumptionsFor5!B$2</f>
        <v>74.16</v>
      </c>
    </row>
    <row r="38" spans="1:3" x14ac:dyDescent="0.25">
      <c r="A38" s="3" t="s">
        <v>108</v>
      </c>
      <c r="B38" s="26">
        <v>2759</v>
      </c>
      <c r="C38" s="62">
        <f>B38*AssumptionsFor5!B$2</f>
        <v>110.36</v>
      </c>
    </row>
    <row r="39" spans="1:3" x14ac:dyDescent="0.25">
      <c r="A39" s="3" t="s">
        <v>109</v>
      </c>
      <c r="B39" s="26">
        <v>1237</v>
      </c>
      <c r="C39" s="62">
        <f>B39*AssumptionsFor5!B$2</f>
        <v>49.480000000000004</v>
      </c>
    </row>
    <row r="40" spans="1:3" x14ac:dyDescent="0.25">
      <c r="A40" s="3" t="s">
        <v>110</v>
      </c>
      <c r="B40" s="26">
        <v>1653</v>
      </c>
      <c r="C40" s="62">
        <f>B40*AssumptionsFor5!B$2</f>
        <v>66.12</v>
      </c>
    </row>
    <row r="41" spans="1:3" x14ac:dyDescent="0.25">
      <c r="A41" s="3" t="s">
        <v>111</v>
      </c>
      <c r="B41" s="26">
        <v>2604</v>
      </c>
      <c r="C41" s="62">
        <f>B41*AssumptionsFor5!B$2</f>
        <v>104.16</v>
      </c>
    </row>
    <row r="42" spans="1:3" x14ac:dyDescent="0.25">
      <c r="A42" s="3" t="s">
        <v>112</v>
      </c>
      <c r="B42" s="26">
        <v>1479</v>
      </c>
      <c r="C42" s="62">
        <f>B42*AssumptionsFor5!B$2</f>
        <v>59.160000000000004</v>
      </c>
    </row>
    <row r="43" spans="1:3" x14ac:dyDescent="0.25">
      <c r="A43" s="3" t="s">
        <v>113</v>
      </c>
      <c r="B43" s="26">
        <v>2569</v>
      </c>
      <c r="C43" s="62">
        <f>B43*AssumptionsFor5!B$2</f>
        <v>102.76</v>
      </c>
    </row>
    <row r="44" spans="1:3" x14ac:dyDescent="0.25">
      <c r="A44" s="3" t="s">
        <v>114</v>
      </c>
      <c r="B44" s="26">
        <v>1941</v>
      </c>
      <c r="C44" s="62">
        <f>B44*AssumptionsFor5!B$2</f>
        <v>77.64</v>
      </c>
    </row>
    <row r="45" spans="1:3" x14ac:dyDescent="0.25">
      <c r="A45" s="3" t="s">
        <v>115</v>
      </c>
      <c r="B45" s="26">
        <v>2793</v>
      </c>
      <c r="C45" s="62">
        <f>B45*AssumptionsFor5!B$2</f>
        <v>111.72</v>
      </c>
    </row>
    <row r="46" spans="1:3" x14ac:dyDescent="0.25">
      <c r="A46" s="3" t="s">
        <v>116</v>
      </c>
      <c r="B46" s="26">
        <v>2614</v>
      </c>
      <c r="C46" s="62">
        <f>B46*AssumptionsFor5!B$2</f>
        <v>104.56</v>
      </c>
    </row>
    <row r="47" spans="1:3" x14ac:dyDescent="0.25">
      <c r="A47" s="3" t="s">
        <v>117</v>
      </c>
      <c r="B47" s="26">
        <v>1645</v>
      </c>
      <c r="C47" s="62">
        <f>B47*AssumptionsFor5!B$2</f>
        <v>65.8</v>
      </c>
    </row>
    <row r="48" spans="1:3" x14ac:dyDescent="0.25">
      <c r="A48" s="3" t="s">
        <v>118</v>
      </c>
      <c r="B48" s="26">
        <v>1733</v>
      </c>
      <c r="C48" s="62">
        <f>B48*AssumptionsFor5!B$2</f>
        <v>69.320000000000007</v>
      </c>
    </row>
    <row r="49" spans="1:3" x14ac:dyDescent="0.25">
      <c r="A49" s="3" t="s">
        <v>119</v>
      </c>
      <c r="B49" s="26">
        <v>2466</v>
      </c>
      <c r="C49" s="62">
        <f>B49*AssumptionsFor5!B$2</f>
        <v>98.64</v>
      </c>
    </row>
    <row r="50" spans="1:3" x14ac:dyDescent="0.25">
      <c r="A50" s="3" t="s">
        <v>120</v>
      </c>
      <c r="B50" s="26">
        <v>2833</v>
      </c>
      <c r="C50" s="62">
        <f>B50*AssumptionsFor5!B$2</f>
        <v>113.32000000000001</v>
      </c>
    </row>
    <row r="51" spans="1:3" x14ac:dyDescent="0.25">
      <c r="A51" s="3" t="s">
        <v>121</v>
      </c>
      <c r="B51" s="26">
        <v>1604</v>
      </c>
      <c r="C51" s="62">
        <f>B51*AssumptionsFor5!B$2</f>
        <v>64.16</v>
      </c>
    </row>
    <row r="52" spans="1:3" x14ac:dyDescent="0.25">
      <c r="A52" s="3" t="s">
        <v>122</v>
      </c>
      <c r="B52" s="26">
        <v>2588</v>
      </c>
      <c r="C52" s="62">
        <f>B52*AssumptionsFor5!B$2</f>
        <v>103.52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0000FF"/>
  </sheetPr>
  <dimension ref="A1:K12"/>
  <sheetViews>
    <sheetView zoomScale="160" zoomScaleNormal="160" workbookViewId="0">
      <selection activeCell="K16" sqref="K16"/>
    </sheetView>
  </sheetViews>
  <sheetFormatPr defaultColWidth="8.85546875" defaultRowHeight="15" x14ac:dyDescent="0.25"/>
  <cols>
    <col min="2" max="2" width="17.42578125" customWidth="1"/>
    <col min="11" max="11" width="10" customWidth="1"/>
  </cols>
  <sheetData>
    <row r="1" spans="1:11" x14ac:dyDescent="0.25">
      <c r="A1" s="7" t="s">
        <v>130</v>
      </c>
      <c r="B1" s="8"/>
      <c r="C1" s="8"/>
      <c r="D1" s="8"/>
      <c r="E1" s="8"/>
      <c r="F1" s="8"/>
      <c r="G1" s="8"/>
      <c r="H1" s="8"/>
      <c r="I1" s="8"/>
      <c r="J1" s="8"/>
      <c r="K1" s="9"/>
    </row>
    <row r="2" spans="1:11" x14ac:dyDescent="0.25">
      <c r="A2" s="10" t="s">
        <v>131</v>
      </c>
      <c r="B2" s="11"/>
      <c r="C2" s="11"/>
      <c r="D2" s="11"/>
      <c r="E2" s="11"/>
      <c r="F2" s="11"/>
      <c r="G2" s="11"/>
      <c r="H2" s="11"/>
      <c r="I2" s="11"/>
      <c r="J2" s="11"/>
      <c r="K2" s="12"/>
    </row>
    <row r="4" spans="1:11" x14ac:dyDescent="0.25">
      <c r="B4" s="4" t="s">
        <v>127</v>
      </c>
    </row>
    <row r="6" spans="1:11" x14ac:dyDescent="0.25">
      <c r="B6" s="14" t="s">
        <v>125</v>
      </c>
      <c r="C6" s="3" t="s">
        <v>8</v>
      </c>
      <c r="D6" s="3" t="s">
        <v>9</v>
      </c>
      <c r="E6" s="3" t="s">
        <v>10</v>
      </c>
      <c r="F6" s="3" t="s">
        <v>11</v>
      </c>
      <c r="G6" s="3" t="s">
        <v>12</v>
      </c>
      <c r="H6" s="3" t="s">
        <v>20</v>
      </c>
    </row>
    <row r="7" spans="1:11" x14ac:dyDescent="0.25">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25">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25">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25">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25">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25">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594</v>
      </c>
      <c r="D7" s="5">
        <v>224</v>
      </c>
      <c r="E7" s="5">
        <v>345</v>
      </c>
      <c r="F7" s="5">
        <v>525</v>
      </c>
      <c r="G7" s="5">
        <v>514</v>
      </c>
      <c r="H7" s="5">
        <v>520</v>
      </c>
    </row>
    <row r="8" spans="2:8" x14ac:dyDescent="0.25">
      <c r="B8" s="3" t="s">
        <v>27</v>
      </c>
      <c r="C8" s="5">
        <v>379</v>
      </c>
      <c r="D8" s="5">
        <v>623</v>
      </c>
      <c r="E8" s="5">
        <v>471</v>
      </c>
      <c r="F8" s="5">
        <v>679</v>
      </c>
      <c r="G8" s="5">
        <v>736</v>
      </c>
      <c r="H8" s="5">
        <v>501</v>
      </c>
    </row>
    <row r="9" spans="2:8" x14ac:dyDescent="0.25">
      <c r="B9" s="3" t="s">
        <v>24</v>
      </c>
      <c r="C9" s="5">
        <v>768</v>
      </c>
      <c r="D9" s="5">
        <v>352</v>
      </c>
      <c r="E9" s="5">
        <v>349</v>
      </c>
      <c r="F9" s="5">
        <v>554</v>
      </c>
      <c r="G9" s="5">
        <v>453</v>
      </c>
      <c r="H9" s="5">
        <v>404</v>
      </c>
    </row>
    <row r="10" spans="2:8" x14ac:dyDescent="0.25">
      <c r="B10" s="3" t="s">
        <v>25</v>
      </c>
      <c r="C10" s="5">
        <v>689</v>
      </c>
      <c r="D10" s="5">
        <v>725</v>
      </c>
      <c r="E10" s="5">
        <v>640</v>
      </c>
      <c r="F10" s="5">
        <v>380</v>
      </c>
      <c r="G10" s="5">
        <v>623</v>
      </c>
      <c r="H10" s="5">
        <v>310</v>
      </c>
    </row>
    <row r="11" spans="2:8" x14ac:dyDescent="0.25">
      <c r="B11" s="3" t="s">
        <v>126</v>
      </c>
      <c r="C11" s="5">
        <v>679</v>
      </c>
      <c r="D11" s="5">
        <v>609</v>
      </c>
      <c r="E11" s="5">
        <v>482</v>
      </c>
      <c r="F11" s="5">
        <v>562</v>
      </c>
      <c r="G11" s="5">
        <v>220</v>
      </c>
      <c r="H11" s="5">
        <v>402</v>
      </c>
    </row>
    <row r="12" spans="2:8" x14ac:dyDescent="0.25">
      <c r="B12" s="3" t="s">
        <v>28</v>
      </c>
      <c r="C12" s="5">
        <v>287</v>
      </c>
      <c r="D12" s="5">
        <v>521</v>
      </c>
      <c r="E12" s="5">
        <v>780</v>
      </c>
      <c r="F12" s="5">
        <v>505</v>
      </c>
      <c r="G12" s="5">
        <v>306</v>
      </c>
      <c r="H12" s="5">
        <v>713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319</v>
      </c>
      <c r="D7" s="5">
        <v>241</v>
      </c>
      <c r="E7" s="5">
        <v>518</v>
      </c>
      <c r="F7" s="5">
        <v>230</v>
      </c>
      <c r="G7" s="5">
        <v>256</v>
      </c>
      <c r="H7" s="5">
        <v>659</v>
      </c>
    </row>
    <row r="8" spans="2:8" x14ac:dyDescent="0.25">
      <c r="B8" s="3" t="s">
        <v>27</v>
      </c>
      <c r="C8" s="5">
        <v>659</v>
      </c>
      <c r="D8" s="5">
        <v>320</v>
      </c>
      <c r="E8" s="5">
        <v>491</v>
      </c>
      <c r="F8" s="5">
        <v>507</v>
      </c>
      <c r="G8" s="5">
        <v>551</v>
      </c>
      <c r="H8" s="5">
        <v>436</v>
      </c>
    </row>
    <row r="9" spans="2:8" x14ac:dyDescent="0.25">
      <c r="B9" s="3" t="s">
        <v>24</v>
      </c>
      <c r="C9" s="5">
        <v>678</v>
      </c>
      <c r="D9" s="5">
        <v>214</v>
      </c>
      <c r="E9" s="5">
        <v>545</v>
      </c>
      <c r="F9" s="5">
        <v>297</v>
      </c>
      <c r="G9" s="5">
        <v>729</v>
      </c>
      <c r="H9" s="5">
        <v>729</v>
      </c>
    </row>
    <row r="10" spans="2:8" x14ac:dyDescent="0.25">
      <c r="B10" s="3" t="s">
        <v>25</v>
      </c>
      <c r="C10" s="5">
        <v>746</v>
      </c>
      <c r="D10" s="5">
        <v>635</v>
      </c>
      <c r="E10" s="5">
        <v>422</v>
      </c>
      <c r="F10" s="5">
        <v>256</v>
      </c>
      <c r="G10" s="5">
        <v>230</v>
      </c>
      <c r="H10" s="5">
        <v>624</v>
      </c>
    </row>
    <row r="11" spans="2:8" x14ac:dyDescent="0.25">
      <c r="B11" s="3" t="s">
        <v>126</v>
      </c>
      <c r="C11" s="5">
        <v>238</v>
      </c>
      <c r="D11" s="5">
        <v>765</v>
      </c>
      <c r="E11" s="5">
        <v>296</v>
      </c>
      <c r="F11" s="5">
        <v>438</v>
      </c>
      <c r="G11" s="5">
        <v>538</v>
      </c>
      <c r="H11" s="5">
        <v>756</v>
      </c>
    </row>
    <row r="12" spans="2:8" x14ac:dyDescent="0.25">
      <c r="B12" s="3" t="s">
        <v>28</v>
      </c>
      <c r="C12" s="5">
        <v>687</v>
      </c>
      <c r="D12" s="5">
        <v>334</v>
      </c>
      <c r="E12" s="5">
        <v>534</v>
      </c>
      <c r="F12" s="5">
        <v>233</v>
      </c>
      <c r="G12" s="5">
        <v>753</v>
      </c>
      <c r="H12" s="5">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711</v>
      </c>
      <c r="D7" s="5">
        <v>710</v>
      </c>
      <c r="E7" s="5">
        <v>767</v>
      </c>
      <c r="F7" s="5">
        <v>696</v>
      </c>
      <c r="G7" s="5">
        <v>647</v>
      </c>
      <c r="H7" s="5">
        <v>526</v>
      </c>
    </row>
    <row r="8" spans="2:8" x14ac:dyDescent="0.25">
      <c r="B8" s="3" t="s">
        <v>27</v>
      </c>
      <c r="C8" s="5">
        <v>405</v>
      </c>
      <c r="D8" s="5">
        <v>240</v>
      </c>
      <c r="E8" s="5">
        <v>256</v>
      </c>
      <c r="F8" s="5">
        <v>450</v>
      </c>
      <c r="G8" s="5">
        <v>263</v>
      </c>
      <c r="H8" s="5">
        <v>614</v>
      </c>
    </row>
    <row r="9" spans="2:8" x14ac:dyDescent="0.25">
      <c r="B9" s="3" t="s">
        <v>24</v>
      </c>
      <c r="C9" s="5">
        <v>585</v>
      </c>
      <c r="D9" s="5">
        <v>784</v>
      </c>
      <c r="E9" s="5">
        <v>338</v>
      </c>
      <c r="F9" s="5">
        <v>776</v>
      </c>
      <c r="G9" s="5">
        <v>700</v>
      </c>
      <c r="H9" s="5">
        <v>450</v>
      </c>
    </row>
    <row r="10" spans="2:8" x14ac:dyDescent="0.25">
      <c r="B10" s="3" t="s">
        <v>25</v>
      </c>
      <c r="C10" s="5">
        <v>208</v>
      </c>
      <c r="D10" s="5">
        <v>759</v>
      </c>
      <c r="E10" s="5">
        <v>488</v>
      </c>
      <c r="F10" s="5">
        <v>693</v>
      </c>
      <c r="G10" s="5">
        <v>417</v>
      </c>
      <c r="H10" s="5">
        <v>204</v>
      </c>
    </row>
    <row r="11" spans="2:8" x14ac:dyDescent="0.25">
      <c r="B11" s="3" t="s">
        <v>126</v>
      </c>
      <c r="C11" s="5">
        <v>638</v>
      </c>
      <c r="D11" s="5">
        <v>292</v>
      </c>
      <c r="E11" s="5">
        <v>274</v>
      </c>
      <c r="F11" s="5">
        <v>421</v>
      </c>
      <c r="G11" s="5">
        <v>521</v>
      </c>
      <c r="H11" s="5">
        <v>693</v>
      </c>
    </row>
    <row r="12" spans="2:8" x14ac:dyDescent="0.25">
      <c r="B12" s="3" t="s">
        <v>28</v>
      </c>
      <c r="C12" s="5">
        <v>332</v>
      </c>
      <c r="D12" s="5">
        <v>289</v>
      </c>
      <c r="E12" s="5">
        <v>506</v>
      </c>
      <c r="F12" s="5">
        <v>239</v>
      </c>
      <c r="G12" s="5">
        <v>481</v>
      </c>
      <c r="H12" s="5">
        <v>406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303</v>
      </c>
      <c r="D7" s="5">
        <v>708</v>
      </c>
      <c r="E7" s="5">
        <v>616</v>
      </c>
      <c r="F7" s="5">
        <v>711</v>
      </c>
      <c r="G7" s="5">
        <v>613</v>
      </c>
      <c r="H7" s="5">
        <v>573</v>
      </c>
    </row>
    <row r="8" spans="2:8" x14ac:dyDescent="0.25">
      <c r="B8" s="3" t="s">
        <v>27</v>
      </c>
      <c r="C8" s="5">
        <v>471</v>
      </c>
      <c r="D8" s="5">
        <v>563</v>
      </c>
      <c r="E8" s="5">
        <v>275</v>
      </c>
      <c r="F8" s="5">
        <v>531</v>
      </c>
      <c r="G8" s="5">
        <v>209</v>
      </c>
      <c r="H8" s="5">
        <v>356</v>
      </c>
    </row>
    <row r="9" spans="2:8" x14ac:dyDescent="0.25">
      <c r="B9" s="3" t="s">
        <v>24</v>
      </c>
      <c r="C9" s="5">
        <v>645</v>
      </c>
      <c r="D9" s="5">
        <v>271</v>
      </c>
      <c r="E9" s="5">
        <v>583</v>
      </c>
      <c r="F9" s="5">
        <v>415</v>
      </c>
      <c r="G9" s="5">
        <v>255</v>
      </c>
      <c r="H9" s="5">
        <v>516</v>
      </c>
    </row>
    <row r="10" spans="2:8" x14ac:dyDescent="0.25">
      <c r="B10" s="3" t="s">
        <v>25</v>
      </c>
      <c r="C10" s="5">
        <v>275</v>
      </c>
      <c r="D10" s="5">
        <v>386</v>
      </c>
      <c r="E10" s="5">
        <v>726</v>
      </c>
      <c r="F10" s="5">
        <v>336</v>
      </c>
      <c r="G10" s="5">
        <v>748</v>
      </c>
      <c r="H10" s="5">
        <v>288</v>
      </c>
    </row>
    <row r="11" spans="2:8" x14ac:dyDescent="0.25">
      <c r="B11" s="3" t="s">
        <v>126</v>
      </c>
      <c r="C11" s="5">
        <v>388</v>
      </c>
      <c r="D11" s="5">
        <v>264</v>
      </c>
      <c r="E11" s="5">
        <v>340</v>
      </c>
      <c r="F11" s="5">
        <v>489</v>
      </c>
      <c r="G11" s="5">
        <v>247</v>
      </c>
      <c r="H11" s="5">
        <v>324</v>
      </c>
    </row>
    <row r="12" spans="2:8" x14ac:dyDescent="0.25">
      <c r="B12" s="3" t="s">
        <v>28</v>
      </c>
      <c r="C12" s="5">
        <v>341</v>
      </c>
      <c r="D12" s="5">
        <v>380</v>
      </c>
      <c r="E12" s="5">
        <v>618</v>
      </c>
      <c r="F12" s="5">
        <v>254</v>
      </c>
      <c r="G12" s="5">
        <v>524</v>
      </c>
      <c r="H12" s="5">
        <v>681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0000FF"/>
  </sheetPr>
  <dimension ref="B4:H12"/>
  <sheetViews>
    <sheetView zoomScale="175" zoomScaleNormal="175" workbookViewId="0">
      <selection activeCell="J24" sqref="J24"/>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602</v>
      </c>
      <c r="D7" s="5">
        <v>230</v>
      </c>
      <c r="E7" s="5">
        <v>505</v>
      </c>
      <c r="F7" s="5">
        <v>425</v>
      </c>
      <c r="G7" s="5">
        <v>478</v>
      </c>
      <c r="H7" s="5">
        <v>735</v>
      </c>
    </row>
    <row r="8" spans="2:8" x14ac:dyDescent="0.25">
      <c r="B8" s="3" t="s">
        <v>27</v>
      </c>
      <c r="C8" s="5">
        <v>295</v>
      </c>
      <c r="D8" s="5">
        <v>751</v>
      </c>
      <c r="E8" s="5">
        <v>539</v>
      </c>
      <c r="F8" s="5">
        <v>423</v>
      </c>
      <c r="G8" s="5">
        <v>625</v>
      </c>
      <c r="H8" s="5">
        <v>202</v>
      </c>
    </row>
    <row r="9" spans="2:8" x14ac:dyDescent="0.25">
      <c r="B9" s="3" t="s">
        <v>24</v>
      </c>
      <c r="C9" s="5">
        <v>513</v>
      </c>
      <c r="D9" s="5">
        <v>526</v>
      </c>
      <c r="E9" s="5">
        <v>452</v>
      </c>
      <c r="F9" s="5">
        <v>236</v>
      </c>
      <c r="G9" s="5">
        <v>585</v>
      </c>
      <c r="H9" s="5">
        <v>486</v>
      </c>
    </row>
    <row r="10" spans="2:8" x14ac:dyDescent="0.25">
      <c r="B10" s="3" t="s">
        <v>25</v>
      </c>
      <c r="C10" s="5">
        <v>535</v>
      </c>
      <c r="D10" s="5">
        <v>558</v>
      </c>
      <c r="E10" s="5">
        <v>496</v>
      </c>
      <c r="F10" s="5">
        <v>229</v>
      </c>
      <c r="G10" s="5">
        <v>346</v>
      </c>
      <c r="H10" s="5">
        <v>495</v>
      </c>
    </row>
    <row r="11" spans="2:8" x14ac:dyDescent="0.25">
      <c r="B11" s="3" t="s">
        <v>126</v>
      </c>
      <c r="C11" s="5">
        <v>475</v>
      </c>
      <c r="D11" s="5">
        <v>644</v>
      </c>
      <c r="E11" s="5">
        <v>762</v>
      </c>
      <c r="F11" s="5">
        <v>263</v>
      </c>
      <c r="G11" s="5">
        <v>479</v>
      </c>
      <c r="H11" s="5">
        <v>273</v>
      </c>
    </row>
    <row r="12" spans="2:8" x14ac:dyDescent="0.25">
      <c r="B12" s="3" t="s">
        <v>28</v>
      </c>
      <c r="C12" s="5">
        <v>431</v>
      </c>
      <c r="D12" s="5">
        <v>512</v>
      </c>
      <c r="E12" s="5">
        <v>209</v>
      </c>
      <c r="F12" s="5">
        <v>272</v>
      </c>
      <c r="G12" s="5">
        <v>220</v>
      </c>
      <c r="H12" s="5">
        <v>740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FF0000"/>
  </sheetPr>
  <dimension ref="A1:K12"/>
  <sheetViews>
    <sheetView tabSelected="1" zoomScale="190" zoomScaleNormal="190" workbookViewId="0">
      <selection activeCell="L26" sqref="L26"/>
    </sheetView>
  </sheetViews>
  <sheetFormatPr defaultColWidth="9.140625" defaultRowHeight="15" x14ac:dyDescent="0.25"/>
  <cols>
    <col min="2" max="2" width="17.42578125" customWidth="1"/>
    <col min="11" max="11" width="10" customWidth="1"/>
  </cols>
  <sheetData>
    <row r="1" spans="1:11" x14ac:dyDescent="0.25">
      <c r="A1" s="7" t="s">
        <v>128</v>
      </c>
      <c r="B1" s="8"/>
      <c r="C1" s="8"/>
      <c r="D1" s="8"/>
      <c r="E1" s="8"/>
      <c r="F1" s="8"/>
      <c r="G1" s="8"/>
      <c r="H1" s="8"/>
      <c r="I1" s="8"/>
      <c r="J1" s="8"/>
      <c r="K1" s="9"/>
    </row>
    <row r="2" spans="1:11" x14ac:dyDescent="0.25">
      <c r="A2" s="10" t="s">
        <v>129</v>
      </c>
      <c r="B2" s="11"/>
      <c r="C2" s="11"/>
      <c r="D2" s="11"/>
      <c r="E2" s="11"/>
      <c r="F2" s="11"/>
      <c r="G2" s="11"/>
      <c r="H2" s="11"/>
      <c r="I2" s="11"/>
      <c r="J2" s="11"/>
      <c r="K2" s="12"/>
    </row>
    <row r="4" spans="1:11" x14ac:dyDescent="0.25">
      <c r="B4" s="4" t="s">
        <v>127</v>
      </c>
    </row>
    <row r="6" spans="1:11" x14ac:dyDescent="0.25">
      <c r="B6" s="14" t="s">
        <v>125</v>
      </c>
      <c r="C6" s="3" t="s">
        <v>8</v>
      </c>
      <c r="D6" s="3" t="s">
        <v>9</v>
      </c>
      <c r="E6" s="3" t="s">
        <v>10</v>
      </c>
      <c r="F6" s="3" t="s">
        <v>11</v>
      </c>
      <c r="G6" s="3" t="s">
        <v>12</v>
      </c>
      <c r="H6" s="3" t="s">
        <v>20</v>
      </c>
    </row>
    <row r="7" spans="1:11" x14ac:dyDescent="0.25">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25">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25">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25">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25">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25">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Topics</vt:lpstr>
      <vt:lpstr>HW(1)</vt:lpstr>
      <vt:lpstr>HW(1an)</vt:lpstr>
      <vt:lpstr>HW(2)</vt:lpstr>
      <vt:lpstr>HW(2an)</vt:lpstr>
      <vt:lpstr>HW(3)</vt:lpstr>
      <vt:lpstr>HW(3an)</vt:lpstr>
      <vt:lpstr>HW(4)</vt:lpstr>
      <vt:lpstr>HW(4an)</vt:lpstr>
      <vt:lpstr>HW(5)</vt:lpstr>
      <vt:lpstr>AssumptionsFor5</vt:lpstr>
      <vt:lpstr>HW(5an)</vt:lpstr>
      <vt:lpstr>HW(6)</vt:lpstr>
      <vt:lpstr>City A</vt:lpstr>
      <vt:lpstr>City B</vt:lpstr>
      <vt:lpstr>City C</vt:lpstr>
      <vt:lpstr>City D</vt:lpstr>
      <vt:lpstr>City E</vt:lpstr>
      <vt:lpstr>HW(6an)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Shubhansh Gupta</cp:lastModifiedBy>
  <dcterms:created xsi:type="dcterms:W3CDTF">2016-04-19T15:53:38Z</dcterms:created>
  <dcterms:modified xsi:type="dcterms:W3CDTF">2024-07-05T16:57:31Z</dcterms:modified>
</cp:coreProperties>
</file>