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/>
  <mc:AlternateContent xmlns:mc="http://schemas.openxmlformats.org/markup-compatibility/2006">
    <mc:Choice Requires="x15">
      <x15ac:absPath xmlns:x15ac="http://schemas.microsoft.com/office/spreadsheetml/2010/11/ac" url="C:\Users\shubh\Desktop\"/>
    </mc:Choice>
  </mc:AlternateContent>
  <xr:revisionPtr revIDLastSave="0" documentId="8_{857F0132-69C9-48A2-8539-94803FFE400B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References" sheetId="1" r:id="rId1"/>
    <sheet name="Assumption Sheet" sheetId="2" r:id="rId2"/>
    <sheet name="City 1" sheetId="3" r:id="rId3"/>
    <sheet name="City 2" sheetId="4" r:id="rId4"/>
    <sheet name="City 3" sheetId="5" r:id="rId5"/>
  </sheets>
  <externalReferences>
    <externalReference r:id="rId6"/>
  </externalReferences>
  <definedNames>
    <definedName name="AnswerAmount">#REF!</definedName>
    <definedName name="AnswerAnnualRate">#REF!</definedName>
    <definedName name="AnswerYears">#REF!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9" roundtripDataChecksum="gaJLJN2/DQlQI3g9Zfz951Usv+VlgD8A/S9Dw7iLj7Y="/>
    </ext>
  </extLst>
</workbook>
</file>

<file path=xl/calcChain.xml><?xml version="1.0" encoding="utf-8"?>
<calcChain xmlns="http://schemas.openxmlformats.org/spreadsheetml/2006/main">
  <c r="C123" i="1" l="1"/>
  <c r="D123" i="1"/>
  <c r="E123" i="1"/>
  <c r="B123" i="1"/>
  <c r="C114" i="1"/>
  <c r="D114" i="1"/>
  <c r="E114" i="1"/>
  <c r="C115" i="1"/>
  <c r="D115" i="1"/>
  <c r="D120" i="1" s="1"/>
  <c r="E115" i="1"/>
  <c r="E120" i="1" s="1"/>
  <c r="C116" i="1"/>
  <c r="C120" i="1" s="1"/>
  <c r="D116" i="1"/>
  <c r="E116" i="1"/>
  <c r="C117" i="1"/>
  <c r="D117" i="1"/>
  <c r="E117" i="1"/>
  <c r="C118" i="1"/>
  <c r="D118" i="1"/>
  <c r="E118" i="1"/>
  <c r="C119" i="1"/>
  <c r="F119" i="1" s="1"/>
  <c r="D119" i="1"/>
  <c r="E119" i="1"/>
  <c r="B115" i="1"/>
  <c r="B116" i="1"/>
  <c r="B117" i="1"/>
  <c r="B118" i="1"/>
  <c r="B119" i="1"/>
  <c r="B114" i="1"/>
  <c r="B105" i="1"/>
  <c r="B106" i="1"/>
  <c r="B104" i="1"/>
  <c r="D81" i="1"/>
  <c r="D82" i="1"/>
  <c r="D83" i="1"/>
  <c r="D84" i="1"/>
  <c r="D85" i="1"/>
  <c r="D86" i="1"/>
  <c r="D87" i="1"/>
  <c r="D88" i="1"/>
  <c r="C82" i="1"/>
  <c r="C83" i="1"/>
  <c r="C84" i="1"/>
  <c r="C85" i="1"/>
  <c r="C86" i="1"/>
  <c r="C87" i="1"/>
  <c r="C88" i="1"/>
  <c r="C81" i="1"/>
  <c r="C54" i="1"/>
  <c r="C58" i="1" s="1"/>
  <c r="C59" i="1" s="1"/>
  <c r="D54" i="1"/>
  <c r="E54" i="1"/>
  <c r="F54" i="1"/>
  <c r="C55" i="1"/>
  <c r="D55" i="1"/>
  <c r="E55" i="1"/>
  <c r="E58" i="1" s="1"/>
  <c r="E59" i="1" s="1"/>
  <c r="F55" i="1"/>
  <c r="F58" i="1" s="1"/>
  <c r="F59" i="1" s="1"/>
  <c r="C56" i="1"/>
  <c r="D56" i="1"/>
  <c r="E56" i="1"/>
  <c r="F56" i="1"/>
  <c r="C57" i="1"/>
  <c r="D57" i="1"/>
  <c r="D58" i="1" s="1"/>
  <c r="D59" i="1" s="1"/>
  <c r="E57" i="1"/>
  <c r="F57" i="1"/>
  <c r="B55" i="1"/>
  <c r="B56" i="1"/>
  <c r="B57" i="1"/>
  <c r="B54" i="1"/>
  <c r="C43" i="1"/>
  <c r="C44" i="1"/>
  <c r="C45" i="1"/>
  <c r="C46" i="1"/>
  <c r="E46" i="1" s="1"/>
  <c r="C47" i="1"/>
  <c r="C42" i="1"/>
  <c r="B28" i="1"/>
  <c r="B29" i="1"/>
  <c r="B30" i="1"/>
  <c r="B31" i="1"/>
  <c r="B32" i="1"/>
  <c r="B27" i="1"/>
  <c r="J27" i="1"/>
  <c r="F18" i="1"/>
  <c r="E18" i="1"/>
  <c r="D18" i="1"/>
  <c r="C18" i="1"/>
  <c r="B18" i="1"/>
  <c r="B9" i="1"/>
  <c r="F9" i="5"/>
  <c r="E9" i="5"/>
  <c r="D9" i="5"/>
  <c r="C9" i="5"/>
  <c r="B9" i="5"/>
  <c r="F8" i="5"/>
  <c r="F7" i="5"/>
  <c r="F6" i="5"/>
  <c r="F5" i="5"/>
  <c r="F4" i="5"/>
  <c r="F3" i="5"/>
  <c r="E9" i="4"/>
  <c r="D9" i="4"/>
  <c r="C9" i="4"/>
  <c r="B9" i="4"/>
  <c r="F9" i="4" s="1"/>
  <c r="F8" i="4"/>
  <c r="F7" i="4"/>
  <c r="F6" i="4"/>
  <c r="F5" i="4"/>
  <c r="F4" i="4"/>
  <c r="F3" i="4"/>
  <c r="E9" i="3"/>
  <c r="D9" i="3"/>
  <c r="C9" i="3"/>
  <c r="B9" i="3"/>
  <c r="F9" i="3" s="1"/>
  <c r="F8" i="3"/>
  <c r="F7" i="3"/>
  <c r="F6" i="3"/>
  <c r="F5" i="3"/>
  <c r="F4" i="3"/>
  <c r="F3" i="3"/>
  <c r="B67" i="1"/>
  <c r="A67" i="1"/>
  <c r="B66" i="1"/>
  <c r="A66" i="1"/>
  <c r="B65" i="1"/>
  <c r="F17" i="1" s="1"/>
  <c r="A65" i="1"/>
  <c r="B64" i="1"/>
  <c r="A64" i="1"/>
  <c r="A59" i="1"/>
  <c r="A58" i="1"/>
  <c r="A57" i="1"/>
  <c r="A56" i="1"/>
  <c r="A55" i="1"/>
  <c r="A54" i="1"/>
  <c r="A53" i="1"/>
  <c r="B46" i="1"/>
  <c r="B47" i="1" s="1"/>
  <c r="J32" i="1"/>
  <c r="J31" i="1"/>
  <c r="J30" i="1"/>
  <c r="J29" i="1"/>
  <c r="J28" i="1"/>
  <c r="F16" i="1"/>
  <c r="E16" i="1"/>
  <c r="D16" i="1"/>
  <c r="C16" i="1"/>
  <c r="B16" i="1"/>
  <c r="F117" i="1" l="1"/>
  <c r="F116" i="1"/>
  <c r="F115" i="1"/>
  <c r="F118" i="1"/>
  <c r="B120" i="1"/>
  <c r="F114" i="1"/>
  <c r="F120" i="1"/>
  <c r="D89" i="1"/>
  <c r="C89" i="1"/>
  <c r="B58" i="1"/>
  <c r="B59" i="1" s="1"/>
  <c r="E47" i="1"/>
  <c r="E45" i="1"/>
  <c r="E44" i="1"/>
  <c r="E43" i="1"/>
  <c r="E42" i="1"/>
  <c r="C17" i="1"/>
  <c r="D17" i="1"/>
  <c r="E17" i="1"/>
  <c r="B17" i="1"/>
</calcChain>
</file>

<file path=xl/sharedStrings.xml><?xml version="1.0" encoding="utf-8"?>
<sst xmlns="http://schemas.openxmlformats.org/spreadsheetml/2006/main" count="168" uniqueCount="103">
  <si>
    <r>
      <rPr>
        <sz val="11"/>
        <color theme="1"/>
        <rFont val="Calibri"/>
      </rPr>
      <t xml:space="preserve">When we </t>
    </r>
    <r>
      <rPr>
        <b/>
        <i/>
        <u/>
        <sz val="11"/>
        <color theme="1"/>
        <rFont val="Calibri"/>
      </rPr>
      <t>copy</t>
    </r>
    <r>
      <rPr>
        <sz val="11"/>
        <color theme="1"/>
        <rFont val="Calibri"/>
      </rPr>
      <t xml:space="preserve"> a formula that contains cell references, we need to consider whether we need:</t>
    </r>
  </si>
  <si>
    <r>
      <rPr>
        <b/>
        <sz val="11"/>
        <color rgb="FF0000FF"/>
        <rFont val="Calibri"/>
      </rPr>
      <t>Relative</t>
    </r>
    <r>
      <rPr>
        <sz val="11"/>
        <color theme="1"/>
        <rFont val="Calibri"/>
      </rPr>
      <t xml:space="preserve">, </t>
    </r>
    <r>
      <rPr>
        <b/>
        <sz val="11"/>
        <color rgb="FFFF0000"/>
        <rFont val="Calibri"/>
      </rPr>
      <t>Absolute</t>
    </r>
    <r>
      <rPr>
        <sz val="11"/>
        <color theme="1"/>
        <rFont val="Calibri"/>
      </rPr>
      <t xml:space="preserve">, </t>
    </r>
    <r>
      <rPr>
        <b/>
        <sz val="11"/>
        <color rgb="FF00B050"/>
        <rFont val="Calibri"/>
      </rPr>
      <t>Mixed with the Column Locked</t>
    </r>
    <r>
      <rPr>
        <sz val="11"/>
        <color theme="1"/>
        <rFont val="Calibri"/>
      </rPr>
      <t xml:space="preserve"> or </t>
    </r>
    <r>
      <rPr>
        <b/>
        <sz val="11"/>
        <color rgb="FF7030A0"/>
        <rFont val="Calibri"/>
      </rPr>
      <t>Mixed with the Row Locked</t>
    </r>
    <r>
      <rPr>
        <sz val="11"/>
        <color theme="1"/>
        <rFont val="Calibri"/>
      </rPr>
      <t>.</t>
    </r>
  </si>
  <si>
    <r>
      <rPr>
        <b/>
        <sz val="11"/>
        <color theme="1"/>
        <rFont val="Calibri"/>
      </rPr>
      <t xml:space="preserve">Example 1: </t>
    </r>
    <r>
      <rPr>
        <sz val="11"/>
        <color theme="1"/>
        <rFont val="Calibri"/>
      </rPr>
      <t>Not Copying Formula.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</si>
  <si>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Income.</t>
    </r>
  </si>
  <si>
    <t>Month</t>
  </si>
  <si>
    <t>Jan</t>
  </si>
  <si>
    <t>Revenue</t>
  </si>
  <si>
    <t>Expenses</t>
  </si>
  <si>
    <t>Net Income</t>
  </si>
  <si>
    <r>
      <rPr>
        <b/>
        <sz val="11"/>
        <color theme="1"/>
        <rFont val="Calibri"/>
      </rPr>
      <t xml:space="preserve">Example 2: </t>
    </r>
    <r>
      <rPr>
        <sz val="11"/>
        <color theme="1"/>
        <rFont val="Calibri"/>
      </rPr>
      <t>Relative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</si>
  <si>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Net Income for each Month.</t>
    </r>
  </si>
  <si>
    <t>Feb</t>
  </si>
  <si>
    <t>Mar</t>
  </si>
  <si>
    <t>Apr</t>
  </si>
  <si>
    <t>May</t>
  </si>
  <si>
    <r>
      <rPr>
        <b/>
        <sz val="11"/>
        <color theme="1"/>
        <rFont val="Calibri"/>
      </rPr>
      <t xml:space="preserve">Example 3: </t>
    </r>
    <r>
      <rPr>
        <sz val="11"/>
        <color theme="1"/>
        <rFont val="Calibri"/>
      </rPr>
      <t>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</si>
  <si>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Estimate the Future Value of an Investment at different rates.</t>
    </r>
  </si>
  <si>
    <t>Amount</t>
  </si>
  <si>
    <t>Years</t>
  </si>
  <si>
    <t>Annual Rate</t>
  </si>
  <si>
    <t>Future Value</t>
  </si>
  <si>
    <t>Check:</t>
  </si>
  <si>
    <r>
      <rPr>
        <b/>
        <sz val="11"/>
        <color theme="1"/>
        <rFont val="Calibri"/>
      </rPr>
      <t>Example 4:</t>
    </r>
    <r>
      <rPr>
        <sz val="11"/>
        <color theme="1"/>
        <rFont val="Calibri"/>
      </rPr>
      <t xml:space="preserve"> Relative &amp; Absolute Cell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</si>
  <si>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each Expense as a % of Revenue (Expense Ratios) to use in next year's Budget.</t>
    </r>
  </si>
  <si>
    <t>Ave. of Last 5 Year's Income Statement:</t>
  </si>
  <si>
    <t>* When we do division or calculate a ratio, if you keep the units in both the numerator and denominator, and,</t>
  </si>
  <si>
    <t xml:space="preserve"> keep a 1 in the denominator, the meaning of the ratio is revealed.</t>
  </si>
  <si>
    <t>Category</t>
  </si>
  <si>
    <t>Amounts</t>
  </si>
  <si>
    <t>% of Revenue</t>
  </si>
  <si>
    <r>
      <rPr>
        <sz val="11"/>
        <color theme="1"/>
        <rFont val="Calibri"/>
      </rPr>
      <t xml:space="preserve">* Each </t>
    </r>
    <r>
      <rPr>
        <b/>
        <sz val="11"/>
        <color theme="1"/>
        <rFont val="Calibri"/>
      </rPr>
      <t>%</t>
    </r>
    <r>
      <rPr>
        <sz val="11"/>
        <color theme="1"/>
        <rFont val="Calibri"/>
      </rPr>
      <t xml:space="preserve"> tells us "how many pennies for each dollar that comes into cash register, goes to each category."</t>
    </r>
  </si>
  <si>
    <t>* Once we calculate these % we can use them to make estimates for future periods (budgeting).</t>
  </si>
  <si>
    <t>Expenses:</t>
  </si>
  <si>
    <t>Meaning of each Ratio:</t>
  </si>
  <si>
    <t>COGS</t>
  </si>
  <si>
    <t>Operating</t>
  </si>
  <si>
    <t>Administrative</t>
  </si>
  <si>
    <t>Other</t>
  </si>
  <si>
    <t>Total Expenses</t>
  </si>
  <si>
    <r>
      <rPr>
        <b/>
        <sz val="11"/>
        <color theme="1"/>
        <rFont val="Calibri"/>
      </rPr>
      <t>Example 5:</t>
    </r>
    <r>
      <rPr>
        <sz val="11"/>
        <color theme="1"/>
        <rFont val="Calibri"/>
      </rPr>
      <t xml:space="preserve"> Mixed Cell References &amp; Assumption Tables.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</si>
  <si>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Expenses for Budgeting Process.</t>
    </r>
  </si>
  <si>
    <t>This Assumption Table can be used with Mixed Cell References because</t>
  </si>
  <si>
    <t>expenses in Assumption Table are oriented in the same direction as the formula table.</t>
  </si>
  <si>
    <t>Assumption Table (Formula Inputs):</t>
  </si>
  <si>
    <r>
      <rPr>
        <sz val="11"/>
        <color theme="1"/>
        <rFont val="Calibri"/>
      </rPr>
      <t xml:space="preserve">&lt;&lt;= Expenses are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Assumption Table &amp; </t>
    </r>
    <r>
      <rPr>
        <b/>
        <sz val="11"/>
        <color theme="1"/>
        <rFont val="Calibri"/>
      </rPr>
      <t>Vertical</t>
    </r>
    <r>
      <rPr>
        <sz val="11"/>
        <color theme="1"/>
        <rFont val="Calibri"/>
      </rPr>
      <t xml:space="preserve"> in Formula Table</t>
    </r>
  </si>
  <si>
    <t>Horizontal / Horizontal works.</t>
  </si>
  <si>
    <t>Vertical / Vertical works.</t>
  </si>
  <si>
    <t>Horizontal / Vertical will NOT work.</t>
  </si>
  <si>
    <r>
      <rPr>
        <sz val="11"/>
        <color theme="1"/>
        <rFont val="Calibri"/>
      </rPr>
      <t xml:space="preserve">This Assumption Table can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be used with Mixed Cell References</t>
    </r>
  </si>
  <si>
    <r>
      <rPr>
        <sz val="11"/>
        <color theme="1"/>
        <rFont val="Calibri"/>
      </rPr>
      <t xml:space="preserve">because expenses in Assumption Table are </t>
    </r>
    <r>
      <rPr>
        <b/>
        <i/>
        <u/>
        <sz val="11"/>
        <color theme="1"/>
        <rFont val="Calibri"/>
      </rPr>
      <t>NOT</t>
    </r>
    <r>
      <rPr>
        <sz val="11"/>
        <color theme="1"/>
        <rFont val="Calibri"/>
      </rPr>
      <t xml:space="preserve"> oriented in the same direction as the formula table.</t>
    </r>
  </si>
  <si>
    <r>
      <rPr>
        <b/>
        <sz val="11"/>
        <color theme="1"/>
        <rFont val="Calibri"/>
      </rPr>
      <t>Example 6 :</t>
    </r>
    <r>
      <rPr>
        <sz val="11"/>
        <color theme="1"/>
        <rFont val="Calibri"/>
      </rPr>
      <t xml:space="preserve"> Sheet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</si>
  <si>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Calculate Jan &amp; Feb Commissions, when Commission Rates are on an Assumption Sheet.</t>
    </r>
  </si>
  <si>
    <t>Jan Sales</t>
  </si>
  <si>
    <t>Feb Sales</t>
  </si>
  <si>
    <t xml:space="preserve">Jan Comm </t>
  </si>
  <si>
    <t xml:space="preserve">Feb Comm </t>
  </si>
  <si>
    <t>Sheet Reference:</t>
  </si>
  <si>
    <t>1) Type equal sign</t>
  </si>
  <si>
    <t>2) Click on sheet</t>
  </si>
  <si>
    <t>3) click on cell on "clicked on sheet"</t>
  </si>
  <si>
    <t>Don't click back on sheet with formula!!!</t>
  </si>
  <si>
    <t>4) Hit Enter!!</t>
  </si>
  <si>
    <t>Total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</si>
  <si>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Workbook Reference.</t>
    </r>
  </si>
  <si>
    <r>
      <rPr>
        <b/>
        <sz val="11"/>
        <color theme="1"/>
        <rFont val="Calibri"/>
      </rPr>
      <t>Goal:</t>
    </r>
    <r>
      <rPr>
        <sz val="11"/>
        <color theme="1"/>
        <rFont val="Calibri"/>
      </rPr>
      <t xml:space="preserve"> Access Net Income Number from External Workbook.</t>
    </r>
  </si>
  <si>
    <t>June Revenue and Expenses</t>
  </si>
  <si>
    <t>Workbook Reference:</t>
  </si>
  <si>
    <t>Rev</t>
  </si>
  <si>
    <t>Expense 1</t>
  </si>
  <si>
    <t>2) Click on Workbook</t>
  </si>
  <si>
    <t>Expense 2</t>
  </si>
  <si>
    <t>3) Click on sheet</t>
  </si>
  <si>
    <t>Expense 3</t>
  </si>
  <si>
    <t>4) click on cell on "clicked on sheet"</t>
  </si>
  <si>
    <t>Expense 4</t>
  </si>
  <si>
    <t>5) Hit Enter!!</t>
  </si>
  <si>
    <t>Expense 5</t>
  </si>
  <si>
    <t>Absolute Cell References are default, but you can change them.</t>
  </si>
  <si>
    <t>Expense 6</t>
  </si>
  <si>
    <t>You can update, change, open source or break link: Data Ribbon Tab, Connections group, Edit Links</t>
  </si>
  <si>
    <t>June Net Income</t>
  </si>
  <si>
    <t>May Net Income</t>
  </si>
  <si>
    <t>Change</t>
  </si>
  <si>
    <r>
      <rPr>
        <b/>
        <sz val="11"/>
        <color theme="1"/>
        <rFont val="Calibri"/>
      </rPr>
      <t>Example 09:</t>
    </r>
    <r>
      <rPr>
        <sz val="11"/>
        <color theme="1"/>
        <rFont val="Calibri"/>
      </rPr>
      <t xml:space="preserve"> 3-D References.</t>
    </r>
  </si>
  <si>
    <r>
      <rPr>
        <b/>
        <sz val="11"/>
        <color theme="1"/>
        <rFont val="Calibri"/>
      </rPr>
      <t xml:space="preserve">Goal: </t>
    </r>
    <r>
      <rPr>
        <sz val="11"/>
        <color theme="1"/>
        <rFont val="Calibri"/>
      </rPr>
      <t>Add numbers from across sheets that each contain an identical template for units.</t>
    </r>
  </si>
  <si>
    <t>Corp Totals</t>
  </si>
  <si>
    <t>3-D Reference</t>
  </si>
  <si>
    <t>1) click on first sheet</t>
  </si>
  <si>
    <t>Quad</t>
  </si>
  <si>
    <t>2) Click on cell or range</t>
  </si>
  <si>
    <t>Sunset</t>
  </si>
  <si>
    <t>3) HOLD SHIFT</t>
  </si>
  <si>
    <t>Carlota</t>
  </si>
  <si>
    <t>4) Click on last sheet</t>
  </si>
  <si>
    <t>Aspen</t>
  </si>
  <si>
    <t>5) Hit Enter</t>
  </si>
  <si>
    <t>Yanaki</t>
  </si>
  <si>
    <t>Tri-Fly</t>
  </si>
  <si>
    <t>Jan Commission Rate</t>
  </si>
  <si>
    <t>Feb Commission Rate</t>
  </si>
  <si>
    <t>Oak Unit Totals</t>
  </si>
  <si>
    <t>Sea Unit Totals</t>
  </si>
  <si>
    <t>Tac Unit Totals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</si>
</sst>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&quot;$&quot;#,##0"/>
    <numFmt numFmtId="166" formatCode="&quot;$&quot;#,##0.00"/>
    <numFmt numFmtId="170" formatCode="_-[$$-409]* #,##0.00_ ;_-[$$-409]* \-#,##0.00\ ;_-[$$-409]* &quot;-&quot;??_ ;_-@_ "/>
  </numFmts>
  <fonts count="12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theme="1"/>
      <name val="Calibri"/>
    </font>
    <font>
      <sz val="11"/>
      <color theme="0"/>
      <name val="Calibri"/>
    </font>
    <font>
      <sz val="11"/>
      <color theme="1"/>
      <name val="Calibri"/>
      <scheme val="minor"/>
    </font>
    <font>
      <sz val="14"/>
      <color theme="0"/>
      <name val="Calibri"/>
    </font>
    <font>
      <sz val="11"/>
      <name val="Calibri"/>
    </font>
    <font>
      <b/>
      <i/>
      <u/>
      <sz val="11"/>
      <color theme="1"/>
      <name val="Calibri"/>
    </font>
    <font>
      <b/>
      <sz val="11"/>
      <color rgb="FF0000FF"/>
      <name val="Calibri"/>
    </font>
    <font>
      <b/>
      <sz val="11"/>
      <color rgb="FFFF0000"/>
      <name val="Calibri"/>
    </font>
    <font>
      <b/>
      <sz val="11"/>
      <color rgb="FF00B050"/>
      <name val="Calibri"/>
    </font>
    <font>
      <b/>
      <sz val="11"/>
      <color rgb="FF7030A0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2060"/>
        <bgColor rgb="FF002060"/>
      </patternFill>
    </fill>
    <fill>
      <patternFill patternType="solid">
        <fgColor rgb="FFCCFFCC"/>
        <bgColor rgb="FFCCFFCC"/>
      </patternFill>
    </fill>
    <fill>
      <patternFill patternType="solid">
        <fgColor rgb="FF0070C0"/>
        <bgColor rgb="FF0070C0"/>
      </patternFill>
    </fill>
    <fill>
      <patternFill patternType="solid">
        <fgColor rgb="FFC5E0B3"/>
        <bgColor rgb="FFC5E0B3"/>
      </patternFill>
    </fill>
    <fill>
      <patternFill patternType="solid">
        <fgColor rgb="FFFF0000"/>
        <bgColor rgb="FFFF0000"/>
      </patternFill>
    </fill>
    <fill>
      <patternFill patternType="solid">
        <fgColor rgb="FF760000"/>
        <bgColor rgb="FF760000"/>
      </patternFill>
    </fill>
    <fill>
      <patternFill patternType="solid">
        <fgColor theme="1"/>
        <bgColor theme="1"/>
      </patternFill>
    </fill>
  </fills>
  <borders count="2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double">
        <color rgb="FF000000"/>
      </bottom>
      <diagonal/>
    </border>
    <border>
      <left/>
      <right style="thin">
        <color rgb="FF000000"/>
      </right>
      <top style="medium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2" fillId="2" borderId="1" xfId="0" applyFont="1" applyFill="1" applyBorder="1"/>
    <xf numFmtId="0" fontId="3" fillId="3" borderId="7" xfId="0" applyFont="1" applyFill="1" applyBorder="1"/>
    <xf numFmtId="0" fontId="2" fillId="0" borderId="7" xfId="0" applyFont="1" applyBorder="1"/>
    <xf numFmtId="164" fontId="1" fillId="0" borderId="7" xfId="0" applyNumberFormat="1" applyFont="1" applyBorder="1"/>
    <xf numFmtId="0" fontId="3" fillId="3" borderId="8" xfId="0" applyFont="1" applyFill="1" applyBorder="1"/>
    <xf numFmtId="164" fontId="1" fillId="0" borderId="9" xfId="0" applyNumberFormat="1" applyFont="1" applyBorder="1"/>
    <xf numFmtId="0" fontId="3" fillId="3" borderId="10" xfId="0" applyFont="1" applyFill="1" applyBorder="1"/>
    <xf numFmtId="165" fontId="1" fillId="4" borderId="10" xfId="0" applyNumberFormat="1" applyFont="1" applyFill="1" applyBorder="1"/>
    <xf numFmtId="164" fontId="1" fillId="4" borderId="10" xfId="0" applyNumberFormat="1" applyFont="1" applyFill="1" applyBorder="1"/>
    <xf numFmtId="0" fontId="1" fillId="0" borderId="7" xfId="0" applyFont="1" applyBorder="1"/>
    <xf numFmtId="0" fontId="3" fillId="3" borderId="11" xfId="0" applyFont="1" applyFill="1" applyBorder="1"/>
    <xf numFmtId="0" fontId="2" fillId="0" borderId="0" xfId="0" applyFont="1"/>
    <xf numFmtId="10" fontId="1" fillId="0" borderId="7" xfId="0" applyNumberFormat="1" applyFont="1" applyBorder="1"/>
    <xf numFmtId="164" fontId="1" fillId="4" borderId="7" xfId="0" applyNumberFormat="1" applyFont="1" applyFill="1" applyBorder="1"/>
    <xf numFmtId="0" fontId="2" fillId="2" borderId="4" xfId="0" applyFont="1" applyFill="1" applyBorder="1"/>
    <xf numFmtId="0" fontId="1" fillId="2" borderId="12" xfId="0" applyFont="1" applyFill="1" applyBorder="1" applyAlignment="1">
      <alignment horizontal="left"/>
    </xf>
    <xf numFmtId="0" fontId="1" fillId="2" borderId="13" xfId="0" applyFont="1" applyFill="1" applyBorder="1"/>
    <xf numFmtId="0" fontId="1" fillId="2" borderId="14" xfId="0" applyFont="1" applyFill="1" applyBorder="1"/>
    <xf numFmtId="0" fontId="1" fillId="2" borderId="12" xfId="0" applyFont="1" applyFill="1" applyBorder="1"/>
    <xf numFmtId="0" fontId="3" fillId="5" borderId="15" xfId="0" applyFont="1" applyFill="1" applyBorder="1"/>
    <xf numFmtId="10" fontId="1" fillId="4" borderId="7" xfId="0" applyNumberFormat="1" applyFont="1" applyFill="1" applyBorder="1"/>
    <xf numFmtId="0" fontId="2" fillId="2" borderId="12" xfId="0" applyFont="1" applyFill="1" applyBorder="1"/>
    <xf numFmtId="0" fontId="3" fillId="5" borderId="15" xfId="0" applyFont="1" applyFill="1" applyBorder="1" applyAlignment="1">
      <alignment horizontal="left"/>
    </xf>
    <xf numFmtId="0" fontId="3" fillId="5" borderId="1" xfId="0" applyFont="1" applyFill="1" applyBorder="1" applyAlignment="1">
      <alignment horizontal="left"/>
    </xf>
    <xf numFmtId="0" fontId="3" fillId="5" borderId="16" xfId="0" applyFont="1" applyFill="1" applyBorder="1"/>
    <xf numFmtId="164" fontId="1" fillId="0" borderId="17" xfId="0" applyNumberFormat="1" applyFont="1" applyBorder="1"/>
    <xf numFmtId="0" fontId="3" fillId="5" borderId="18" xfId="0" applyFont="1" applyFill="1" applyBorder="1"/>
    <xf numFmtId="164" fontId="1" fillId="0" borderId="10" xfId="0" applyNumberFormat="1" applyFont="1" applyBorder="1"/>
    <xf numFmtId="0" fontId="3" fillId="3" borderId="7" xfId="0" applyFont="1" applyFill="1" applyBorder="1" applyAlignment="1">
      <alignment horizontal="left"/>
    </xf>
    <xf numFmtId="164" fontId="1" fillId="6" borderId="3" xfId="0" applyNumberFormat="1" applyFont="1" applyFill="1" applyBorder="1"/>
    <xf numFmtId="164" fontId="1" fillId="6" borderId="8" xfId="0" applyNumberFormat="1" applyFont="1" applyFill="1" applyBorder="1"/>
    <xf numFmtId="164" fontId="1" fillId="6" borderId="19" xfId="0" applyNumberFormat="1" applyFont="1" applyFill="1" applyBorder="1"/>
    <xf numFmtId="164" fontId="1" fillId="6" borderId="10" xfId="0" applyNumberFormat="1" applyFont="1" applyFill="1" applyBorder="1"/>
    <xf numFmtId="0" fontId="3" fillId="7" borderId="4" xfId="0" applyFont="1" applyFill="1" applyBorder="1"/>
    <xf numFmtId="0" fontId="3" fillId="7" borderId="6" xfId="0" applyFont="1" applyFill="1" applyBorder="1"/>
    <xf numFmtId="0" fontId="4" fillId="0" borderId="0" xfId="0" applyFont="1"/>
    <xf numFmtId="10" fontId="1" fillId="0" borderId="0" xfId="0" applyNumberFormat="1" applyFont="1"/>
    <xf numFmtId="0" fontId="1" fillId="7" borderId="5" xfId="0" applyFont="1" applyFill="1" applyBorder="1"/>
    <xf numFmtId="0" fontId="1" fillId="0" borderId="0" xfId="0" applyFont="1" applyAlignment="1">
      <alignment horizontal="left"/>
    </xf>
    <xf numFmtId="164" fontId="1" fillId="0" borderId="0" xfId="0" applyNumberFormat="1" applyFont="1"/>
    <xf numFmtId="0" fontId="1" fillId="2" borderId="15" xfId="0" applyFont="1" applyFill="1" applyBorder="1"/>
    <xf numFmtId="0" fontId="1" fillId="2" borderId="7" xfId="0" applyFont="1" applyFill="1" applyBorder="1"/>
    <xf numFmtId="0" fontId="2" fillId="0" borderId="0" xfId="0" applyFont="1" applyAlignment="1">
      <alignment horizontal="left"/>
    </xf>
    <xf numFmtId="164" fontId="1" fillId="0" borderId="20" xfId="0" applyNumberFormat="1" applyFont="1" applyBorder="1"/>
    <xf numFmtId="0" fontId="1" fillId="2" borderId="21" xfId="0" applyFont="1" applyFill="1" applyBorder="1"/>
    <xf numFmtId="0" fontId="1" fillId="2" borderId="22" xfId="0" applyFont="1" applyFill="1" applyBorder="1"/>
    <xf numFmtId="166" fontId="1" fillId="4" borderId="7" xfId="0" applyNumberFormat="1" applyFont="1" applyFill="1" applyBorder="1"/>
    <xf numFmtId="0" fontId="3" fillId="9" borderId="7" xfId="0" applyFont="1" applyFill="1" applyBorder="1"/>
    <xf numFmtId="0" fontId="1" fillId="4" borderId="7" xfId="0" applyFont="1" applyFill="1" applyBorder="1"/>
    <xf numFmtId="0" fontId="3" fillId="7" borderId="7" xfId="0" applyFont="1" applyFill="1" applyBorder="1"/>
    <xf numFmtId="0" fontId="5" fillId="8" borderId="23" xfId="0" applyFont="1" applyFill="1" applyBorder="1" applyAlignment="1">
      <alignment horizontal="center" wrapText="1"/>
    </xf>
    <xf numFmtId="0" fontId="6" fillId="0" borderId="24" xfId="0" applyFont="1" applyBorder="1"/>
    <xf numFmtId="0" fontId="6" fillId="0" borderId="25" xfId="0" applyFont="1" applyBorder="1"/>
    <xf numFmtId="170" fontId="1" fillId="4" borderId="7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2.%20Cell%20Ref_Ex_May%20N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 NI"/>
      <sheetName val="Sheet2"/>
      <sheetName val="Sheet3"/>
    </sheetNames>
    <sheetDataSet>
      <sheetData sheetId="0">
        <row r="2">
          <cell r="B2">
            <v>9100</v>
          </cell>
        </row>
        <row r="3">
          <cell r="B3">
            <v>400</v>
          </cell>
        </row>
        <row r="4">
          <cell r="B4">
            <v>589</v>
          </cell>
        </row>
        <row r="5">
          <cell r="B5">
            <v>95</v>
          </cell>
        </row>
        <row r="6">
          <cell r="B6">
            <v>1200</v>
          </cell>
        </row>
        <row r="7">
          <cell r="B7">
            <v>6100</v>
          </cell>
        </row>
        <row r="8">
          <cell r="B8">
            <v>59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00FF"/>
  </sheetPr>
  <dimension ref="A1:P1000"/>
  <sheetViews>
    <sheetView showGridLines="0" tabSelected="1" topLeftCell="A72" zoomScale="115" zoomScaleNormal="115" workbookViewId="0">
      <selection activeCell="G126" sqref="G126"/>
    </sheetView>
  </sheetViews>
  <sheetFormatPr defaultColWidth="14.42578125" defaultRowHeight="15" customHeight="1"/>
  <cols>
    <col min="1" max="1" width="17.85546875" customWidth="1"/>
    <col min="2" max="2" width="14.28515625" customWidth="1"/>
    <col min="3" max="3" width="14.42578125" customWidth="1"/>
    <col min="4" max="4" width="12.85546875" customWidth="1"/>
    <col min="5" max="6" width="11" customWidth="1"/>
    <col min="7" max="7" width="11.28515625" customWidth="1"/>
    <col min="8" max="8" width="12.42578125" customWidth="1"/>
    <col min="9" max="9" width="11.28515625" customWidth="1"/>
    <col min="10" max="10" width="11.42578125" customWidth="1"/>
    <col min="11" max="11" width="10.42578125" customWidth="1"/>
    <col min="12" max="26" width="8.85546875" customWidth="1"/>
  </cols>
  <sheetData>
    <row r="1" spans="1:10">
      <c r="A1" s="1" t="s">
        <v>0</v>
      </c>
      <c r="B1" s="2"/>
      <c r="C1" s="2"/>
      <c r="D1" s="2"/>
      <c r="E1" s="2"/>
      <c r="F1" s="2"/>
      <c r="G1" s="2"/>
      <c r="H1" s="2"/>
      <c r="I1" s="2"/>
      <c r="J1" s="3"/>
    </row>
    <row r="2" spans="1:10">
      <c r="A2" s="4" t="s">
        <v>1</v>
      </c>
      <c r="B2" s="5"/>
      <c r="C2" s="5"/>
      <c r="D2" s="5"/>
      <c r="E2" s="5"/>
      <c r="F2" s="5"/>
      <c r="G2" s="5"/>
      <c r="H2" s="5"/>
      <c r="I2" s="5"/>
      <c r="J2" s="6"/>
    </row>
    <row r="4" spans="1:10">
      <c r="A4" s="7" t="s">
        <v>2</v>
      </c>
      <c r="B4" s="2"/>
      <c r="C4" s="2"/>
      <c r="D4" s="3"/>
    </row>
    <row r="5" spans="1:10">
      <c r="A5" s="4" t="s">
        <v>3</v>
      </c>
      <c r="B5" s="5"/>
      <c r="C5" s="5"/>
      <c r="D5" s="6"/>
    </row>
    <row r="6" spans="1:10">
      <c r="A6" s="8" t="s">
        <v>4</v>
      </c>
      <c r="B6" s="9" t="s">
        <v>5</v>
      </c>
    </row>
    <row r="7" spans="1:10">
      <c r="A7" s="8" t="s">
        <v>6</v>
      </c>
      <c r="B7" s="10">
        <v>65487</v>
      </c>
    </row>
    <row r="8" spans="1:10">
      <c r="A8" s="11" t="s">
        <v>7</v>
      </c>
      <c r="B8" s="12">
        <v>52149</v>
      </c>
    </row>
    <row r="9" spans="1:10">
      <c r="A9" s="13" t="s">
        <v>8</v>
      </c>
      <c r="B9" s="14">
        <f>B7-B8</f>
        <v>13338</v>
      </c>
    </row>
    <row r="13" spans="1:10">
      <c r="A13" s="7" t="s">
        <v>9</v>
      </c>
      <c r="B13" s="2"/>
      <c r="C13" s="2"/>
      <c r="D13" s="2"/>
      <c r="E13" s="2"/>
      <c r="F13" s="3"/>
    </row>
    <row r="14" spans="1:10">
      <c r="A14" s="4" t="s">
        <v>10</v>
      </c>
      <c r="B14" s="5"/>
      <c r="C14" s="5"/>
      <c r="D14" s="5"/>
      <c r="E14" s="5"/>
      <c r="F14" s="6"/>
    </row>
    <row r="15" spans="1:10">
      <c r="A15" s="8" t="s">
        <v>4</v>
      </c>
      <c r="B15" s="9" t="s">
        <v>5</v>
      </c>
      <c r="C15" s="9" t="s">
        <v>11</v>
      </c>
      <c r="D15" s="9" t="s">
        <v>12</v>
      </c>
      <c r="E15" s="9" t="s">
        <v>13</v>
      </c>
      <c r="F15" s="9" t="s">
        <v>14</v>
      </c>
    </row>
    <row r="16" spans="1:10">
      <c r="A16" s="8" t="s">
        <v>6</v>
      </c>
      <c r="B16" s="10">
        <f t="shared" ref="B16:F16" si="0">B53</f>
        <v>65487</v>
      </c>
      <c r="C16" s="10">
        <f t="shared" si="0"/>
        <v>75894</v>
      </c>
      <c r="D16" s="10">
        <f t="shared" si="0"/>
        <v>65007</v>
      </c>
      <c r="E16" s="10">
        <f t="shared" si="0"/>
        <v>95449</v>
      </c>
      <c r="F16" s="10">
        <f t="shared" si="0"/>
        <v>99220</v>
      </c>
    </row>
    <row r="17" spans="1:10">
      <c r="A17" s="11" t="s">
        <v>7</v>
      </c>
      <c r="B17" s="12">
        <f t="shared" ref="B17:F17" si="1">B53*SUM($B$64:$B$67)</f>
        <v>55932.972012393933</v>
      </c>
      <c r="C17" s="12">
        <f t="shared" si="1"/>
        <v>64821.674193483057</v>
      </c>
      <c r="D17" s="12">
        <f t="shared" si="1"/>
        <v>55523.000162012191</v>
      </c>
      <c r="E17" s="12">
        <f t="shared" si="1"/>
        <v>81523.756556430875</v>
      </c>
      <c r="F17" s="12">
        <f t="shared" si="1"/>
        <v>84744.597905992428</v>
      </c>
    </row>
    <row r="18" spans="1:10">
      <c r="A18" s="13" t="s">
        <v>8</v>
      </c>
      <c r="B18" s="15">
        <f>B16-B17</f>
        <v>9554.0279876060667</v>
      </c>
      <c r="C18" s="15">
        <f>C16-C17</f>
        <v>11072.325806516943</v>
      </c>
      <c r="D18" s="15">
        <f>D16-D17</f>
        <v>9483.9998379878089</v>
      </c>
      <c r="E18" s="15">
        <f>E16-E17</f>
        <v>13925.243443569125</v>
      </c>
      <c r="F18" s="15">
        <f>F16-F17</f>
        <v>14475.402094007572</v>
      </c>
    </row>
    <row r="21" spans="1:10" ht="15.75" customHeight="1">
      <c r="A21" s="7" t="s">
        <v>15</v>
      </c>
      <c r="B21" s="2"/>
      <c r="C21" s="2"/>
      <c r="D21" s="2"/>
      <c r="E21" s="2"/>
      <c r="F21" s="3"/>
    </row>
    <row r="22" spans="1:10" ht="15.75" customHeight="1">
      <c r="A22" s="4" t="s">
        <v>16</v>
      </c>
      <c r="B22" s="5"/>
      <c r="C22" s="5"/>
      <c r="D22" s="5"/>
      <c r="E22" s="5"/>
      <c r="F22" s="6"/>
    </row>
    <row r="23" spans="1:10" ht="15.75" customHeight="1">
      <c r="A23" s="8" t="s">
        <v>17</v>
      </c>
      <c r="B23" s="10">
        <v>3500</v>
      </c>
    </row>
    <row r="24" spans="1:10" ht="15.75" customHeight="1">
      <c r="A24" s="8" t="s">
        <v>18</v>
      </c>
      <c r="B24" s="16">
        <v>15</v>
      </c>
    </row>
    <row r="25" spans="1:10" ht="15.75" customHeight="1"/>
    <row r="26" spans="1:10" ht="15.75" customHeight="1">
      <c r="A26" s="17" t="s">
        <v>19</v>
      </c>
      <c r="B26" s="8" t="s">
        <v>20</v>
      </c>
      <c r="J26" s="18" t="s">
        <v>21</v>
      </c>
    </row>
    <row r="27" spans="1:10" ht="15.75" customHeight="1">
      <c r="A27" s="19">
        <v>0.03</v>
      </c>
      <c r="B27" s="53">
        <f>FV(A27, B$24, -B$23)</f>
        <v>65096.198603422519</v>
      </c>
      <c r="J27" s="20">
        <f>$B$23*((1+A27)^$B$24-1)/A27</f>
        <v>65096.198603422519</v>
      </c>
    </row>
    <row r="28" spans="1:10" ht="15.75" customHeight="1">
      <c r="A28" s="19">
        <v>0.04</v>
      </c>
      <c r="B28" s="53">
        <f t="shared" ref="B28:B32" si="2">FV(A28, B$24, -B$23)</f>
        <v>70082.55673185522</v>
      </c>
      <c r="J28" s="20">
        <f t="shared" ref="J27:J32" si="3">$B$23*((1+A28)^$B$24-1)/A28</f>
        <v>70082.556731855206</v>
      </c>
    </row>
    <row r="29" spans="1:10" ht="15.75" customHeight="1">
      <c r="A29" s="19">
        <v>0.05</v>
      </c>
      <c r="B29" s="53">
        <f t="shared" si="2"/>
        <v>75524.972558795751</v>
      </c>
      <c r="J29" s="20">
        <f t="shared" si="3"/>
        <v>75524.972558795751</v>
      </c>
    </row>
    <row r="30" spans="1:10" ht="15.75" customHeight="1">
      <c r="A30" s="19">
        <v>0.06</v>
      </c>
      <c r="B30" s="53">
        <f t="shared" si="2"/>
        <v>81465.894597482067</v>
      </c>
      <c r="J30" s="20">
        <f t="shared" si="3"/>
        <v>81465.894597482067</v>
      </c>
    </row>
    <row r="31" spans="1:10" ht="15.75" customHeight="1">
      <c r="A31" s="19">
        <v>7.0000000000000007E-2</v>
      </c>
      <c r="B31" s="53">
        <f t="shared" si="2"/>
        <v>87951.577035766721</v>
      </c>
      <c r="J31" s="20">
        <f t="shared" si="3"/>
        <v>87951.577035766706</v>
      </c>
    </row>
    <row r="32" spans="1:10" ht="15.75" customHeight="1">
      <c r="A32" s="19">
        <v>0.08</v>
      </c>
      <c r="B32" s="53">
        <f t="shared" si="2"/>
        <v>95032.398746174367</v>
      </c>
      <c r="J32" s="20">
        <f t="shared" si="3"/>
        <v>95032.398746174367</v>
      </c>
    </row>
    <row r="33" spans="1:16" ht="15.75" customHeight="1"/>
    <row r="34" spans="1:16" ht="15.75" customHeight="1">
      <c r="A34" s="7" t="s">
        <v>22</v>
      </c>
      <c r="B34" s="2"/>
      <c r="C34" s="2"/>
      <c r="D34" s="2"/>
      <c r="E34" s="2"/>
      <c r="F34" s="2"/>
      <c r="G34" s="3"/>
    </row>
    <row r="35" spans="1:16" ht="15.75" customHeight="1">
      <c r="A35" s="21" t="s">
        <v>23</v>
      </c>
      <c r="B35" s="5"/>
      <c r="C35" s="5"/>
      <c r="D35" s="5"/>
      <c r="E35" s="5"/>
      <c r="F35" s="5"/>
      <c r="G35" s="6"/>
    </row>
    <row r="36" spans="1:16" ht="15.75" customHeight="1"/>
    <row r="37" spans="1:16" ht="15.75" customHeight="1">
      <c r="A37" s="18" t="s">
        <v>24</v>
      </c>
      <c r="E37" s="1" t="s">
        <v>25</v>
      </c>
      <c r="F37" s="2"/>
      <c r="G37" s="2"/>
      <c r="H37" s="2"/>
      <c r="I37" s="2"/>
      <c r="J37" s="2"/>
      <c r="K37" s="2"/>
      <c r="L37" s="2"/>
      <c r="M37" s="2"/>
      <c r="N37" s="2"/>
      <c r="O37" s="2"/>
      <c r="P37" s="3"/>
    </row>
    <row r="38" spans="1:16" ht="15.75" customHeight="1">
      <c r="B38" s="18"/>
      <c r="C38" s="18"/>
      <c r="E38" s="22" t="s">
        <v>26</v>
      </c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4"/>
    </row>
    <row r="39" spans="1:16" ht="15.75" customHeight="1">
      <c r="A39" s="8" t="s">
        <v>27</v>
      </c>
      <c r="B39" s="8" t="s">
        <v>28</v>
      </c>
      <c r="C39" s="8" t="s">
        <v>29</v>
      </c>
      <c r="E39" s="25" t="s">
        <v>30</v>
      </c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4"/>
    </row>
    <row r="40" spans="1:16" ht="15.75" customHeight="1">
      <c r="A40" s="26" t="s">
        <v>6</v>
      </c>
      <c r="B40" s="10">
        <v>98758</v>
      </c>
      <c r="C40" s="27">
        <v>1</v>
      </c>
      <c r="E40" s="25" t="s">
        <v>31</v>
      </c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4"/>
    </row>
    <row r="41" spans="1:16" ht="15.75" customHeight="1">
      <c r="A41" s="26" t="s">
        <v>32</v>
      </c>
      <c r="B41" s="10"/>
      <c r="C41" s="27"/>
      <c r="E41" s="28" t="s">
        <v>33</v>
      </c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4"/>
    </row>
    <row r="42" spans="1:16" ht="15.75" customHeight="1">
      <c r="A42" s="29" t="s">
        <v>34</v>
      </c>
      <c r="B42" s="10">
        <v>45879</v>
      </c>
      <c r="C42" s="27">
        <f>B42/$B$40</f>
        <v>0.46455983312744287</v>
      </c>
      <c r="E42" s="25" t="str">
        <f t="shared" ref="E42:E47" si="4">IF(ISNUMBER(C42),DOLLAR(B42,0)&amp;" "&amp;A42&amp;"/"&amp;DOLLAR($B$40,0)&amp;" "&amp;$A$40&amp;"  =  "&amp;DOLLAR(C42)&amp;" "&amp;A42&amp;"/"&amp;DOLLAR($C$40)&amp;" "&amp;$A$40&amp;"  =  "&amp;DOLLAR(C42)&amp;" of "&amp;A42&amp;" for every "&amp;DOLLAR($C$40)&amp;" of "&amp;$A$40,"")</f>
        <v>₹ 45,879 COGS/₹ 98,758 Revenue  =  ₹ 0.46 COGS/₹ 1.00 Revenue  =  ₹ 0.46 of COGS for every ₹ 1.00 of Revenue</v>
      </c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4"/>
    </row>
    <row r="43" spans="1:16" ht="15.75" customHeight="1">
      <c r="A43" s="29" t="s">
        <v>35</v>
      </c>
      <c r="B43" s="10">
        <v>19237</v>
      </c>
      <c r="C43" s="27">
        <f t="shared" ref="C43:C47" si="5">B43/$B$40</f>
        <v>0.19478928289353775</v>
      </c>
      <c r="E43" s="25" t="str">
        <f t="shared" si="4"/>
        <v>₹ 19,237 Operating/₹ 98,758 Revenue  =  ₹ 0.19 Operating/₹ 1.00 Revenue  =  ₹ 0.19 of Operating for every ₹ 1.00 of Revenue</v>
      </c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4"/>
    </row>
    <row r="44" spans="1:16" ht="15.75" customHeight="1">
      <c r="A44" s="29" t="s">
        <v>36</v>
      </c>
      <c r="B44" s="10">
        <v>15247</v>
      </c>
      <c r="C44" s="27">
        <f t="shared" si="5"/>
        <v>0.15438749265882257</v>
      </c>
      <c r="E44" s="25" t="str">
        <f t="shared" si="4"/>
        <v>₹ 15,247 Administrative/₹ 98,758 Revenue  =  ₹ 0.15 Administrative/₹ 1.00 Revenue  =  ₹ 0.15 of Administrative for every ₹ 1.00 of Revenue</v>
      </c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4"/>
    </row>
    <row r="45" spans="1:16" ht="15.75" customHeight="1">
      <c r="A45" s="30" t="s">
        <v>37</v>
      </c>
      <c r="B45" s="12">
        <v>3987</v>
      </c>
      <c r="C45" s="27">
        <f t="shared" si="5"/>
        <v>4.0371412948824396E-2</v>
      </c>
      <c r="E45" s="25" t="str">
        <f t="shared" si="4"/>
        <v>₹ 3,987 Other/₹ 98,758 Revenue  =  ₹ 0.04 Other/₹ 1.00 Revenue  =  ₹ 0.04 of Other for every ₹ 1.00 of Revenue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4"/>
    </row>
    <row r="46" spans="1:16" ht="15.75" customHeight="1">
      <c r="A46" s="31" t="s">
        <v>38</v>
      </c>
      <c r="B46" s="32">
        <f>SUM(B42:B45)</f>
        <v>84350</v>
      </c>
      <c r="C46" s="27">
        <f t="shared" si="5"/>
        <v>0.85410802162862753</v>
      </c>
      <c r="E46" s="25" t="str">
        <f t="shared" si="4"/>
        <v>₹ 84,350 Total Expenses/₹ 98,758 Revenue  =  ₹ 0.85 Total Expenses/₹ 1.00 Revenue  =  ₹ 0.85 of Total Expenses for every ₹ 1.00 of Revenue</v>
      </c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4"/>
    </row>
    <row r="47" spans="1:16" ht="15.75" customHeight="1">
      <c r="A47" s="33" t="s">
        <v>8</v>
      </c>
      <c r="B47" s="34">
        <f>B40-B46</f>
        <v>14408</v>
      </c>
      <c r="C47" s="27">
        <f t="shared" si="5"/>
        <v>0.14589197837137244</v>
      </c>
      <c r="E47" s="4" t="str">
        <f t="shared" si="4"/>
        <v>₹ 14,408 Net Income/₹ 98,758 Revenue  =  ₹ 0.15 Net Income/₹ 1.00 Revenue  =  ₹ 0.15 of Net Income for every ₹ 1.00 of Revenue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</row>
    <row r="48" spans="1:16" ht="15.75" customHeight="1"/>
    <row r="49" spans="1:6" ht="15.75" customHeight="1"/>
    <row r="50" spans="1:6" ht="15.75" customHeight="1">
      <c r="A50" s="7" t="s">
        <v>39</v>
      </c>
      <c r="B50" s="2"/>
      <c r="C50" s="2"/>
      <c r="D50" s="2"/>
      <c r="E50" s="2"/>
      <c r="F50" s="3"/>
    </row>
    <row r="51" spans="1:6" ht="15.75" customHeight="1">
      <c r="A51" s="21" t="s">
        <v>40</v>
      </c>
      <c r="B51" s="5"/>
      <c r="C51" s="5"/>
      <c r="D51" s="5"/>
      <c r="E51" s="5"/>
      <c r="F51" s="6"/>
    </row>
    <row r="52" spans="1:6" ht="15.75" customHeight="1">
      <c r="A52" s="8" t="s">
        <v>4</v>
      </c>
      <c r="B52" s="9" t="s">
        <v>5</v>
      </c>
      <c r="C52" s="9" t="s">
        <v>11</v>
      </c>
      <c r="D52" s="9" t="s">
        <v>12</v>
      </c>
      <c r="E52" s="9" t="s">
        <v>13</v>
      </c>
      <c r="F52" s="9" t="s">
        <v>14</v>
      </c>
    </row>
    <row r="53" spans="1:6" ht="15.75" customHeight="1">
      <c r="A53" s="8" t="str">
        <f>A40</f>
        <v>Revenue</v>
      </c>
      <c r="B53" s="10">
        <v>65487</v>
      </c>
      <c r="C53" s="10">
        <v>75894</v>
      </c>
      <c r="D53" s="10">
        <v>65007</v>
      </c>
      <c r="E53" s="10">
        <v>95449</v>
      </c>
      <c r="F53" s="10">
        <v>99220</v>
      </c>
    </row>
    <row r="54" spans="1:6" ht="15.75" customHeight="1">
      <c r="A54" s="35" t="str">
        <f t="shared" ref="A54:A59" si="6">A42</f>
        <v>COGS</v>
      </c>
      <c r="B54" s="20">
        <f>$B64*B$53</f>
        <v>30422.629792016851</v>
      </c>
      <c r="C54" s="20">
        <f t="shared" ref="C54:F54" si="7">$B64*C$53</f>
        <v>35257.303975374147</v>
      </c>
      <c r="D54" s="20">
        <f t="shared" si="7"/>
        <v>30199.641072115679</v>
      </c>
      <c r="E54" s="20">
        <f t="shared" si="7"/>
        <v>44341.771512181294</v>
      </c>
      <c r="F54" s="20">
        <f t="shared" si="7"/>
        <v>46093.626642904885</v>
      </c>
    </row>
    <row r="55" spans="1:6" ht="15.75" customHeight="1">
      <c r="A55" s="35" t="str">
        <f t="shared" si="6"/>
        <v>Operating</v>
      </c>
      <c r="B55" s="20">
        <f t="shared" ref="B55:F57" si="8">$B65*B$53</f>
        <v>12756.165768849107</v>
      </c>
      <c r="C55" s="20">
        <f t="shared" si="8"/>
        <v>14783.337835922153</v>
      </c>
      <c r="D55" s="20">
        <f t="shared" si="8"/>
        <v>12662.666913060209</v>
      </c>
      <c r="E55" s="20">
        <f t="shared" si="8"/>
        <v>18592.442262905286</v>
      </c>
      <c r="F55" s="20">
        <f t="shared" si="8"/>
        <v>19326.992648696814</v>
      </c>
    </row>
    <row r="56" spans="1:6" ht="15.75" customHeight="1">
      <c r="A56" s="35" t="str">
        <f t="shared" si="6"/>
        <v>Administrative</v>
      </c>
      <c r="B56" s="20">
        <f t="shared" si="8"/>
        <v>10110.373731748314</v>
      </c>
      <c r="C56" s="20">
        <f t="shared" si="8"/>
        <v>11717.08436784868</v>
      </c>
      <c r="D56" s="20">
        <f t="shared" si="8"/>
        <v>10036.267735272078</v>
      </c>
      <c r="E56" s="20">
        <f t="shared" si="8"/>
        <v>14736.131786791955</v>
      </c>
      <c r="F56" s="20">
        <f t="shared" si="8"/>
        <v>15318.327021608375</v>
      </c>
    </row>
    <row r="57" spans="1:6" ht="15.75" customHeight="1">
      <c r="A57" s="35" t="str">
        <f t="shared" si="6"/>
        <v>Other</v>
      </c>
      <c r="B57" s="20">
        <f t="shared" si="8"/>
        <v>2643.8027197796632</v>
      </c>
      <c r="C57" s="20">
        <f t="shared" si="8"/>
        <v>3063.9480143380788</v>
      </c>
      <c r="D57" s="20">
        <f t="shared" si="8"/>
        <v>2624.4244415642274</v>
      </c>
      <c r="E57" s="20">
        <f t="shared" si="8"/>
        <v>3853.4109945523396</v>
      </c>
      <c r="F57" s="20">
        <f t="shared" si="8"/>
        <v>4005.6515927823566</v>
      </c>
    </row>
    <row r="58" spans="1:6" ht="15.75" customHeight="1">
      <c r="A58" s="8" t="str">
        <f t="shared" si="6"/>
        <v>Total Expenses</v>
      </c>
      <c r="B58" s="36">
        <f>SUM(B54:B57)</f>
        <v>55932.972012393933</v>
      </c>
      <c r="C58" s="37">
        <f t="shared" ref="B58:F58" si="9">SUM(C54:C57)</f>
        <v>64821.674193483057</v>
      </c>
      <c r="D58" s="37">
        <f t="shared" si="9"/>
        <v>55523.000162012191</v>
      </c>
      <c r="E58" s="37">
        <f t="shared" si="9"/>
        <v>81523.756556430875</v>
      </c>
      <c r="F58" s="37">
        <f t="shared" si="9"/>
        <v>84744.597905992443</v>
      </c>
    </row>
    <row r="59" spans="1:6" ht="15.75" customHeight="1">
      <c r="A59" s="8" t="str">
        <f t="shared" si="6"/>
        <v>Net Income</v>
      </c>
      <c r="B59" s="38">
        <f>B53-B58</f>
        <v>9554.0279876060667</v>
      </c>
      <c r="C59" s="39">
        <f t="shared" ref="B59:F59" si="10">C53-C58</f>
        <v>11072.325806516943</v>
      </c>
      <c r="D59" s="39">
        <f t="shared" si="10"/>
        <v>9483.9998379878089</v>
      </c>
      <c r="E59" s="39">
        <f t="shared" si="10"/>
        <v>13925.243443569125</v>
      </c>
      <c r="F59" s="39">
        <f t="shared" si="10"/>
        <v>14475.402094007557</v>
      </c>
    </row>
    <row r="60" spans="1:6" ht="15.75" customHeight="1"/>
    <row r="61" spans="1:6" ht="15.75" customHeight="1">
      <c r="A61" s="1" t="s">
        <v>41</v>
      </c>
      <c r="B61" s="2"/>
      <c r="C61" s="2"/>
      <c r="D61" s="2"/>
      <c r="E61" s="2"/>
      <c r="F61" s="3"/>
    </row>
    <row r="62" spans="1:6" ht="15.75" customHeight="1">
      <c r="A62" s="4" t="s">
        <v>42</v>
      </c>
      <c r="B62" s="5"/>
      <c r="C62" s="5"/>
      <c r="D62" s="5"/>
      <c r="E62" s="5"/>
      <c r="F62" s="6"/>
    </row>
    <row r="63" spans="1:6" ht="15.75" customHeight="1">
      <c r="A63" s="40" t="s">
        <v>43</v>
      </c>
      <c r="B63" s="41"/>
    </row>
    <row r="64" spans="1:6" ht="15.75" customHeight="1">
      <c r="A64" s="16" t="str">
        <f t="shared" ref="A64:A67" si="11">A42</f>
        <v>COGS</v>
      </c>
      <c r="B64" s="19">
        <f t="shared" ref="B64:B67" si="12">B42/$B$40</f>
        <v>0.46455983312744287</v>
      </c>
      <c r="D64" s="42" t="s">
        <v>44</v>
      </c>
    </row>
    <row r="65" spans="1:9" ht="15.75" customHeight="1">
      <c r="A65" s="16" t="str">
        <f t="shared" si="11"/>
        <v>Operating</v>
      </c>
      <c r="B65" s="19">
        <f t="shared" si="12"/>
        <v>0.19478928289353775</v>
      </c>
      <c r="D65" s="42" t="s">
        <v>45</v>
      </c>
    </row>
    <row r="66" spans="1:9" ht="15.75" customHeight="1">
      <c r="A66" s="16" t="str">
        <f t="shared" si="11"/>
        <v>Administrative</v>
      </c>
      <c r="B66" s="19">
        <f t="shared" si="12"/>
        <v>0.15438749265882257</v>
      </c>
      <c r="D66" s="42" t="s">
        <v>46</v>
      </c>
    </row>
    <row r="67" spans="1:9" ht="15.75" customHeight="1">
      <c r="A67" s="16" t="str">
        <f t="shared" si="11"/>
        <v>Other</v>
      </c>
      <c r="B67" s="19">
        <f t="shared" si="12"/>
        <v>4.0371412948824396E-2</v>
      </c>
      <c r="D67" s="42" t="s">
        <v>47</v>
      </c>
    </row>
    <row r="68" spans="1:9" ht="15.75" customHeight="1">
      <c r="B68" s="43"/>
    </row>
    <row r="69" spans="1:9" ht="15.75" customHeight="1">
      <c r="A69" s="1" t="s">
        <v>48</v>
      </c>
      <c r="B69" s="2"/>
      <c r="C69" s="2"/>
      <c r="D69" s="2"/>
      <c r="E69" s="2"/>
      <c r="F69" s="2"/>
      <c r="G69" s="3"/>
    </row>
    <row r="70" spans="1:9" ht="15.75" customHeight="1">
      <c r="A70" s="4" t="s">
        <v>49</v>
      </c>
      <c r="B70" s="5"/>
      <c r="C70" s="5"/>
      <c r="D70" s="5"/>
      <c r="E70" s="5"/>
      <c r="F70" s="5"/>
      <c r="G70" s="6"/>
    </row>
    <row r="71" spans="1:9" ht="15.75" customHeight="1">
      <c r="A71" s="40" t="s">
        <v>43</v>
      </c>
      <c r="B71" s="44"/>
      <c r="C71" s="44"/>
      <c r="D71" s="41"/>
    </row>
    <row r="72" spans="1:9" ht="15.75" customHeight="1">
      <c r="A72" s="16" t="s">
        <v>34</v>
      </c>
      <c r="B72" s="16" t="s">
        <v>35</v>
      </c>
      <c r="C72" s="16" t="s">
        <v>36</v>
      </c>
      <c r="D72" s="16" t="s">
        <v>37</v>
      </c>
    </row>
    <row r="73" spans="1:9" ht="15.75" customHeight="1">
      <c r="A73" s="19">
        <v>0.46455983312744287</v>
      </c>
      <c r="B73" s="19">
        <v>0.19478928289353775</v>
      </c>
      <c r="C73" s="19">
        <v>0.15438749265882257</v>
      </c>
      <c r="D73" s="19">
        <v>4.0371412948824396E-2</v>
      </c>
    </row>
    <row r="74" spans="1:9" ht="15.75" customHeight="1"/>
    <row r="75" spans="1:9" ht="15.75" customHeight="1"/>
    <row r="76" spans="1:9" ht="15.75" customHeight="1"/>
    <row r="77" spans="1:9" ht="15.75" customHeight="1"/>
    <row r="78" spans="1:9" ht="15.75" customHeight="1">
      <c r="A78" s="7" t="s">
        <v>50</v>
      </c>
      <c r="B78" s="2"/>
      <c r="C78" s="2"/>
      <c r="D78" s="2"/>
      <c r="E78" s="2"/>
      <c r="F78" s="2"/>
      <c r="G78" s="2"/>
      <c r="H78" s="3"/>
      <c r="I78" s="45"/>
    </row>
    <row r="79" spans="1:9" ht="15.75" customHeight="1">
      <c r="A79" s="21" t="s">
        <v>51</v>
      </c>
      <c r="B79" s="5"/>
      <c r="C79" s="5"/>
      <c r="D79" s="5"/>
      <c r="E79" s="5"/>
      <c r="F79" s="5"/>
      <c r="G79" s="5"/>
      <c r="H79" s="6"/>
    </row>
    <row r="80" spans="1:9" ht="15.75" customHeight="1">
      <c r="A80" s="8" t="s">
        <v>52</v>
      </c>
      <c r="B80" s="8" t="s">
        <v>53</v>
      </c>
      <c r="C80" s="8" t="s">
        <v>54</v>
      </c>
      <c r="D80" s="8" t="s">
        <v>55</v>
      </c>
    </row>
    <row r="81" spans="1:13" ht="15.75" customHeight="1">
      <c r="A81" s="46">
        <v>28463.4</v>
      </c>
      <c r="B81" s="46">
        <v>14231.7</v>
      </c>
      <c r="C81" s="20">
        <f>A81*'Assumption Sheet'!A$2</f>
        <v>782.74350000000004</v>
      </c>
      <c r="D81" s="20">
        <f>B81*'Assumption Sheet'!B$2</f>
        <v>466.08817500000004</v>
      </c>
      <c r="I81" s="47" t="s">
        <v>56</v>
      </c>
      <c r="J81" s="48"/>
    </row>
    <row r="82" spans="1:13" ht="15.75" customHeight="1">
      <c r="A82" s="46">
        <v>33873.699999999997</v>
      </c>
      <c r="B82" s="46">
        <v>45008.47</v>
      </c>
      <c r="C82" s="20">
        <f>A82*'Assumption Sheet'!A$2</f>
        <v>931.52674999999988</v>
      </c>
      <c r="D82" s="20">
        <f>B82*'Assumption Sheet'!B$2</f>
        <v>1474.0273925000001</v>
      </c>
      <c r="I82" s="42" t="s">
        <v>57</v>
      </c>
    </row>
    <row r="83" spans="1:13" ht="15.75" customHeight="1">
      <c r="A83" s="46">
        <v>6050.6</v>
      </c>
      <c r="B83" s="46">
        <v>19361.920000000002</v>
      </c>
      <c r="C83" s="20">
        <f>A83*'Assumption Sheet'!A$2</f>
        <v>166.39150000000001</v>
      </c>
      <c r="D83" s="20">
        <f>B83*'Assumption Sheet'!B$2</f>
        <v>634.10288000000014</v>
      </c>
      <c r="I83" s="42" t="s">
        <v>58</v>
      </c>
    </row>
    <row r="84" spans="1:13" ht="15.75" customHeight="1">
      <c r="A84" s="46">
        <v>24665.4</v>
      </c>
      <c r="B84" s="46">
        <v>24397.72</v>
      </c>
      <c r="C84" s="20">
        <f>A84*'Assumption Sheet'!A$2</f>
        <v>678.29849999999999</v>
      </c>
      <c r="D84" s="20">
        <f>B84*'Assumption Sheet'!B$2</f>
        <v>799.02533000000005</v>
      </c>
      <c r="I84" s="42" t="s">
        <v>59</v>
      </c>
    </row>
    <row r="85" spans="1:13" ht="15.75" customHeight="1">
      <c r="A85" s="46">
        <v>17142.400000000001</v>
      </c>
      <c r="B85" s="46">
        <v>19712.96</v>
      </c>
      <c r="C85" s="20">
        <f>A85*'Assumption Sheet'!A$2</f>
        <v>471.41600000000005</v>
      </c>
      <c r="D85" s="20">
        <f>B85*'Assumption Sheet'!B$2</f>
        <v>645.59943999999996</v>
      </c>
      <c r="I85" s="49" t="s">
        <v>60</v>
      </c>
    </row>
    <row r="86" spans="1:13" ht="15.75" customHeight="1">
      <c r="A86" s="46">
        <v>10748.8</v>
      </c>
      <c r="B86" s="46">
        <v>16123.199999999999</v>
      </c>
      <c r="C86" s="20">
        <f>A86*'Assumption Sheet'!A$2</f>
        <v>295.59199999999998</v>
      </c>
      <c r="D86" s="20">
        <f>B86*'Assumption Sheet'!B$2</f>
        <v>528.03480000000002</v>
      </c>
      <c r="I86" s="42" t="s">
        <v>61</v>
      </c>
    </row>
    <row r="87" spans="1:13" ht="15.75" customHeight="1">
      <c r="A87" s="46">
        <v>2653.7</v>
      </c>
      <c r="B87" s="46">
        <v>3715.1799999999994</v>
      </c>
      <c r="C87" s="20">
        <f>A87*'Assumption Sheet'!A$2</f>
        <v>72.976749999999996</v>
      </c>
      <c r="D87" s="20">
        <f>B87*'Assumption Sheet'!B$2</f>
        <v>121.67214499999999</v>
      </c>
    </row>
    <row r="88" spans="1:13" ht="15.75" customHeight="1">
      <c r="A88" s="46">
        <v>13052.6</v>
      </c>
      <c r="B88" s="46">
        <v>22463.06</v>
      </c>
      <c r="C88" s="20">
        <f>A88*'Assumption Sheet'!A$2</f>
        <v>358.94650000000001</v>
      </c>
      <c r="D88" s="20">
        <f>B88*'Assumption Sheet'!B$2</f>
        <v>735.6652150000001</v>
      </c>
    </row>
    <row r="89" spans="1:13" ht="15.75" customHeight="1">
      <c r="A89" s="50" t="s">
        <v>62</v>
      </c>
      <c r="B89" s="50"/>
      <c r="C89" s="50">
        <f t="shared" ref="C89:D89" si="13">SUM(C81:C88)</f>
        <v>3757.8915000000002</v>
      </c>
      <c r="D89" s="50">
        <f t="shared" si="13"/>
        <v>5404.2153774999997</v>
      </c>
    </row>
    <row r="90" spans="1:13" ht="15.75" customHeight="1"/>
    <row r="91" spans="1:13" ht="15.75" customHeight="1"/>
    <row r="92" spans="1:13" ht="15.75" customHeight="1">
      <c r="A92" s="7" t="s">
        <v>63</v>
      </c>
      <c r="B92" s="2"/>
      <c r="C92" s="2"/>
      <c r="D92" s="2"/>
      <c r="E92" s="2"/>
      <c r="F92" s="2"/>
      <c r="G92" s="2"/>
      <c r="H92" s="3"/>
      <c r="I92" s="45"/>
    </row>
    <row r="93" spans="1:13" ht="15.75" customHeight="1">
      <c r="A93" s="21" t="s">
        <v>64</v>
      </c>
      <c r="B93" s="5"/>
      <c r="C93" s="5"/>
      <c r="D93" s="5"/>
      <c r="E93" s="5"/>
      <c r="F93" s="5"/>
      <c r="G93" s="5"/>
      <c r="H93" s="6"/>
      <c r="I93" s="45"/>
    </row>
    <row r="94" spans="1:13" ht="15.75" customHeight="1">
      <c r="I94" s="45"/>
    </row>
    <row r="95" spans="1:13" ht="15.75" customHeight="1">
      <c r="A95" s="18" t="s">
        <v>65</v>
      </c>
      <c r="I95" s="45"/>
      <c r="K95" s="47" t="s">
        <v>66</v>
      </c>
      <c r="L95" s="51"/>
      <c r="M95" s="52"/>
    </row>
    <row r="96" spans="1:13" ht="15.75" customHeight="1">
      <c r="A96" s="9" t="s">
        <v>67</v>
      </c>
      <c r="B96" s="10">
        <v>10000</v>
      </c>
      <c r="I96" s="45"/>
      <c r="K96" s="42" t="s">
        <v>57</v>
      </c>
    </row>
    <row r="97" spans="1:11" ht="15.75" customHeight="1">
      <c r="A97" s="9" t="s">
        <v>68</v>
      </c>
      <c r="B97" s="10">
        <v>500</v>
      </c>
      <c r="I97" s="45"/>
      <c r="K97" s="42" t="s">
        <v>69</v>
      </c>
    </row>
    <row r="98" spans="1:11" ht="15.75" customHeight="1">
      <c r="A98" s="9" t="s">
        <v>70</v>
      </c>
      <c r="B98" s="10">
        <v>654</v>
      </c>
      <c r="I98" s="45"/>
      <c r="K98" s="42" t="s">
        <v>71</v>
      </c>
    </row>
    <row r="99" spans="1:11" ht="15.75" customHeight="1">
      <c r="A99" s="9" t="s">
        <v>72</v>
      </c>
      <c r="B99" s="10">
        <v>85</v>
      </c>
      <c r="I99" s="45"/>
      <c r="K99" s="42" t="s">
        <v>73</v>
      </c>
    </row>
    <row r="100" spans="1:11" ht="15.75" customHeight="1">
      <c r="A100" s="9" t="s">
        <v>74</v>
      </c>
      <c r="B100" s="10">
        <v>958</v>
      </c>
      <c r="I100" s="45"/>
      <c r="K100" s="42" t="s">
        <v>75</v>
      </c>
    </row>
    <row r="101" spans="1:11" ht="15.75" customHeight="1">
      <c r="A101" s="9" t="s">
        <v>76</v>
      </c>
      <c r="B101" s="10">
        <v>6522</v>
      </c>
      <c r="I101" s="45"/>
      <c r="K101" s="42" t="s">
        <v>77</v>
      </c>
    </row>
    <row r="102" spans="1:11" ht="15.75" customHeight="1">
      <c r="A102" s="9" t="s">
        <v>78</v>
      </c>
      <c r="B102" s="10">
        <v>12</v>
      </c>
      <c r="I102" s="45"/>
      <c r="K102" s="42" t="s">
        <v>79</v>
      </c>
    </row>
    <row r="103" spans="1:11" ht="15.75" customHeight="1">
      <c r="I103" s="45"/>
    </row>
    <row r="104" spans="1:11" ht="15.75" customHeight="1">
      <c r="A104" s="16" t="s">
        <v>80</v>
      </c>
      <c r="B104" s="53">
        <f>B96-SUM(B97:B102)</f>
        <v>1269</v>
      </c>
      <c r="I104" s="45"/>
    </row>
    <row r="105" spans="1:11" ht="15.75" customHeight="1">
      <c r="A105" s="16" t="s">
        <v>81</v>
      </c>
      <c r="B105" s="60">
        <f>'[1]May NI'!$B$2-SUM('[1]May NI'!$B$3:$B$8)</f>
        <v>657</v>
      </c>
      <c r="I105" s="45"/>
    </row>
    <row r="106" spans="1:11" ht="15.75" customHeight="1">
      <c r="A106" s="16" t="s">
        <v>82</v>
      </c>
      <c r="B106" s="53">
        <f>B104-B105</f>
        <v>612</v>
      </c>
      <c r="I106" s="45"/>
    </row>
    <row r="107" spans="1:11" ht="15.75" customHeight="1">
      <c r="I107" s="45"/>
    </row>
    <row r="108" spans="1:11" ht="15.75" customHeight="1">
      <c r="I108" s="45"/>
    </row>
    <row r="109" spans="1:11" ht="15.75" customHeight="1">
      <c r="A109" s="7" t="s">
        <v>83</v>
      </c>
      <c r="B109" s="2"/>
      <c r="C109" s="2"/>
      <c r="D109" s="2"/>
      <c r="E109" s="2"/>
      <c r="F109" s="2"/>
      <c r="G109" s="2"/>
      <c r="H109" s="3"/>
      <c r="I109" s="45"/>
    </row>
    <row r="110" spans="1:11" ht="15.75" customHeight="1">
      <c r="A110" s="21" t="s">
        <v>84</v>
      </c>
      <c r="B110" s="5"/>
      <c r="C110" s="5"/>
      <c r="D110" s="5"/>
      <c r="E110" s="5"/>
      <c r="F110" s="5"/>
      <c r="G110" s="5"/>
      <c r="H110" s="6"/>
    </row>
    <row r="111" spans="1:11" ht="15.75" customHeight="1"/>
    <row r="112" spans="1:11" ht="15.75" customHeight="1">
      <c r="A112" s="57" t="s">
        <v>85</v>
      </c>
      <c r="B112" s="58"/>
      <c r="C112" s="58"/>
      <c r="D112" s="58"/>
      <c r="E112" s="58"/>
      <c r="F112" s="59"/>
      <c r="H112" s="47" t="s">
        <v>86</v>
      </c>
      <c r="I112" s="51"/>
      <c r="J112" s="52"/>
    </row>
    <row r="113" spans="1:8" ht="15.75" customHeight="1">
      <c r="A113" s="16"/>
      <c r="B113" s="54" t="s">
        <v>5</v>
      </c>
      <c r="C113" s="54" t="s">
        <v>11</v>
      </c>
      <c r="D113" s="54" t="s">
        <v>12</v>
      </c>
      <c r="E113" s="54" t="s">
        <v>13</v>
      </c>
      <c r="F113" s="8" t="s">
        <v>62</v>
      </c>
      <c r="H113" s="42" t="s">
        <v>87</v>
      </c>
    </row>
    <row r="114" spans="1:8" ht="15.75" customHeight="1">
      <c r="A114" s="54" t="s">
        <v>88</v>
      </c>
      <c r="B114" s="55">
        <f>SUM('City 1:City 3'!B3)</f>
        <v>31</v>
      </c>
      <c r="C114" s="55">
        <f>SUM('City 1:City 3'!C3)</f>
        <v>25</v>
      </c>
      <c r="D114" s="55">
        <f>SUM('City 1:City 3'!D3)</f>
        <v>14</v>
      </c>
      <c r="E114" s="55">
        <f>SUM('City 1:City 3'!E3)</f>
        <v>17</v>
      </c>
      <c r="F114" s="8">
        <f t="shared" ref="F114:F120" si="14">SUM(B114:E114)</f>
        <v>87</v>
      </c>
      <c r="H114" s="42" t="s">
        <v>89</v>
      </c>
    </row>
    <row r="115" spans="1:8" ht="15.75" customHeight="1">
      <c r="A115" s="54" t="s">
        <v>90</v>
      </c>
      <c r="B115" s="55">
        <f>SUM('City 1:City 3'!B4)</f>
        <v>12</v>
      </c>
      <c r="C115" s="55">
        <f>SUM('City 1:City 3'!C4)</f>
        <v>29</v>
      </c>
      <c r="D115" s="55">
        <f>SUM('City 1:City 3'!D4)</f>
        <v>21</v>
      </c>
      <c r="E115" s="55">
        <f>SUM('City 1:City 3'!E4)</f>
        <v>27</v>
      </c>
      <c r="F115" s="8">
        <f t="shared" si="14"/>
        <v>89</v>
      </c>
      <c r="H115" s="42" t="s">
        <v>91</v>
      </c>
    </row>
    <row r="116" spans="1:8" ht="15.75" customHeight="1">
      <c r="A116" s="54" t="s">
        <v>92</v>
      </c>
      <c r="B116" s="55">
        <f>SUM('City 1:City 3'!B5)</f>
        <v>33</v>
      </c>
      <c r="C116" s="55">
        <f>SUM('City 1:City 3'!C5)</f>
        <v>15</v>
      </c>
      <c r="D116" s="55">
        <f>SUM('City 1:City 3'!D5)</f>
        <v>17</v>
      </c>
      <c r="E116" s="55">
        <f>SUM('City 1:City 3'!E5)</f>
        <v>20</v>
      </c>
      <c r="F116" s="8">
        <f t="shared" si="14"/>
        <v>85</v>
      </c>
      <c r="H116" s="42" t="s">
        <v>93</v>
      </c>
    </row>
    <row r="117" spans="1:8" ht="15.75" customHeight="1">
      <c r="A117" s="54" t="s">
        <v>94</v>
      </c>
      <c r="B117" s="55">
        <f>SUM('City 1:City 3'!B6)</f>
        <v>18</v>
      </c>
      <c r="C117" s="55">
        <f>SUM('City 1:City 3'!C6)</f>
        <v>33</v>
      </c>
      <c r="D117" s="55">
        <f>SUM('City 1:City 3'!D6)</f>
        <v>10</v>
      </c>
      <c r="E117" s="55">
        <f>SUM('City 1:City 3'!E6)</f>
        <v>7</v>
      </c>
      <c r="F117" s="8">
        <f t="shared" si="14"/>
        <v>68</v>
      </c>
      <c r="H117" s="42" t="s">
        <v>95</v>
      </c>
    </row>
    <row r="118" spans="1:8" ht="15.75" customHeight="1">
      <c r="A118" s="54" t="s">
        <v>96</v>
      </c>
      <c r="B118" s="55">
        <f>SUM('City 1:City 3'!B7)</f>
        <v>18</v>
      </c>
      <c r="C118" s="55">
        <f>SUM('City 1:City 3'!C7)</f>
        <v>22</v>
      </c>
      <c r="D118" s="55">
        <f>SUM('City 1:City 3'!D7)</f>
        <v>27</v>
      </c>
      <c r="E118" s="55">
        <f>SUM('City 1:City 3'!E7)</f>
        <v>12</v>
      </c>
      <c r="F118" s="8">
        <f t="shared" si="14"/>
        <v>79</v>
      </c>
    </row>
    <row r="119" spans="1:8" ht="15.75" customHeight="1">
      <c r="A119" s="54" t="s">
        <v>97</v>
      </c>
      <c r="B119" s="55">
        <f>SUM('City 1:City 3'!B8)</f>
        <v>24</v>
      </c>
      <c r="C119" s="55">
        <f>SUM('City 1:City 3'!C8)</f>
        <v>8</v>
      </c>
      <c r="D119" s="55">
        <f>SUM('City 1:City 3'!D8)</f>
        <v>6</v>
      </c>
      <c r="E119" s="55">
        <f>SUM('City 1:City 3'!E8)</f>
        <v>28</v>
      </c>
      <c r="F119" s="8">
        <f t="shared" si="14"/>
        <v>66</v>
      </c>
    </row>
    <row r="120" spans="1:8" ht="15.75" customHeight="1">
      <c r="A120" s="8" t="s">
        <v>62</v>
      </c>
      <c r="B120" s="8">
        <f t="shared" ref="B120:E120" si="15">SUM(B114:B119)</f>
        <v>136</v>
      </c>
      <c r="C120" s="8">
        <f t="shared" si="15"/>
        <v>132</v>
      </c>
      <c r="D120" s="8">
        <f t="shared" si="15"/>
        <v>95</v>
      </c>
      <c r="E120" s="8">
        <f t="shared" si="15"/>
        <v>111</v>
      </c>
      <c r="F120" s="8">
        <f t="shared" si="14"/>
        <v>474</v>
      </c>
    </row>
    <row r="121" spans="1:8" ht="15.75" customHeight="1"/>
    <row r="122" spans="1:8" ht="15.75" customHeight="1">
      <c r="B122" s="54" t="s">
        <v>5</v>
      </c>
      <c r="C122" s="54" t="s">
        <v>11</v>
      </c>
      <c r="D122" s="54" t="s">
        <v>12</v>
      </c>
      <c r="E122" s="54" t="s">
        <v>13</v>
      </c>
    </row>
    <row r="123" spans="1:8" ht="15.75" customHeight="1">
      <c r="B123" s="42">
        <f>B120</f>
        <v>136</v>
      </c>
      <c r="C123" s="42">
        <f t="shared" ref="C123:E123" si="16">C120</f>
        <v>132</v>
      </c>
      <c r="D123" s="42">
        <f t="shared" si="16"/>
        <v>95</v>
      </c>
      <c r="E123" s="42">
        <f t="shared" si="16"/>
        <v>111</v>
      </c>
    </row>
    <row r="124" spans="1:8" ht="15.75" customHeight="1"/>
    <row r="125" spans="1:8" ht="15.75" customHeight="1"/>
    <row r="126" spans="1:8" ht="15.75" customHeight="1"/>
    <row r="127" spans="1:8" ht="15.75" customHeight="1"/>
    <row r="128" spans="1: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12:F112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</sheetPr>
  <dimension ref="A1:B1000"/>
  <sheetViews>
    <sheetView showGridLines="0" zoomScale="155" zoomScaleNormal="85" workbookViewId="0">
      <selection activeCell="BK48" sqref="BK48"/>
    </sheetView>
  </sheetViews>
  <sheetFormatPr defaultColWidth="14.42578125" defaultRowHeight="15" customHeight="1"/>
  <cols>
    <col min="1" max="1" width="19.85546875" customWidth="1"/>
    <col min="2" max="2" width="20.28515625" customWidth="1"/>
    <col min="3" max="26" width="8.85546875" customWidth="1"/>
  </cols>
  <sheetData>
    <row r="1" spans="1:2">
      <c r="A1" s="56" t="s">
        <v>98</v>
      </c>
      <c r="B1" s="56" t="s">
        <v>99</v>
      </c>
    </row>
    <row r="2" spans="1:2">
      <c r="A2" s="16">
        <v>2.75E-2</v>
      </c>
      <c r="B2" s="16">
        <v>3.2750000000000001E-2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F1000"/>
  <sheetViews>
    <sheetView showGridLines="0" workbookViewId="0">
      <selection sqref="A1:F1"/>
    </sheetView>
  </sheetViews>
  <sheetFormatPr defaultColWidth="14.42578125" defaultRowHeight="15" customHeight="1"/>
  <cols>
    <col min="1" max="26" width="8.85546875" customWidth="1"/>
  </cols>
  <sheetData>
    <row r="1" spans="1:6" ht="15.75">
      <c r="A1" s="57" t="s">
        <v>100</v>
      </c>
      <c r="B1" s="58"/>
      <c r="C1" s="58"/>
      <c r="D1" s="58"/>
      <c r="E1" s="58"/>
      <c r="F1" s="59"/>
    </row>
    <row r="2" spans="1:6">
      <c r="A2" s="16"/>
      <c r="B2" s="54" t="s">
        <v>5</v>
      </c>
      <c r="C2" s="54" t="s">
        <v>11</v>
      </c>
      <c r="D2" s="54" t="s">
        <v>12</v>
      </c>
      <c r="E2" s="54" t="s">
        <v>13</v>
      </c>
      <c r="F2" s="8" t="s">
        <v>62</v>
      </c>
    </row>
    <row r="3" spans="1:6">
      <c r="A3" s="54" t="s">
        <v>88</v>
      </c>
      <c r="B3" s="16">
        <v>14</v>
      </c>
      <c r="C3" s="16">
        <v>8</v>
      </c>
      <c r="D3" s="16">
        <v>0</v>
      </c>
      <c r="E3" s="16">
        <v>1</v>
      </c>
      <c r="F3" s="8">
        <f t="shared" ref="F3:F9" si="0">SUM(B3:E3)</f>
        <v>23</v>
      </c>
    </row>
    <row r="4" spans="1:6">
      <c r="A4" s="54" t="s">
        <v>90</v>
      </c>
      <c r="B4" s="16">
        <v>8</v>
      </c>
      <c r="C4" s="16">
        <v>8</v>
      </c>
      <c r="D4" s="16">
        <v>2</v>
      </c>
      <c r="E4" s="16">
        <v>11</v>
      </c>
      <c r="F4" s="8">
        <f t="shared" si="0"/>
        <v>29</v>
      </c>
    </row>
    <row r="5" spans="1:6">
      <c r="A5" s="54" t="s">
        <v>92</v>
      </c>
      <c r="B5" s="16">
        <v>6</v>
      </c>
      <c r="C5" s="16">
        <v>6</v>
      </c>
      <c r="D5" s="16">
        <v>13</v>
      </c>
      <c r="E5" s="16">
        <v>7</v>
      </c>
      <c r="F5" s="8">
        <f t="shared" si="0"/>
        <v>32</v>
      </c>
    </row>
    <row r="6" spans="1:6">
      <c r="A6" s="54" t="s">
        <v>94</v>
      </c>
      <c r="B6" s="16">
        <v>13</v>
      </c>
      <c r="C6" s="16">
        <v>12</v>
      </c>
      <c r="D6" s="16">
        <v>5</v>
      </c>
      <c r="E6" s="16">
        <v>2</v>
      </c>
      <c r="F6" s="8">
        <f t="shared" si="0"/>
        <v>32</v>
      </c>
    </row>
    <row r="7" spans="1:6">
      <c r="A7" s="54" t="s">
        <v>96</v>
      </c>
      <c r="B7" s="16">
        <v>9</v>
      </c>
      <c r="C7" s="16">
        <v>5</v>
      </c>
      <c r="D7" s="16">
        <v>10</v>
      </c>
      <c r="E7" s="16">
        <v>1</v>
      </c>
      <c r="F7" s="8">
        <f t="shared" si="0"/>
        <v>25</v>
      </c>
    </row>
    <row r="8" spans="1:6">
      <c r="A8" s="54" t="s">
        <v>97</v>
      </c>
      <c r="B8" s="16">
        <v>9</v>
      </c>
      <c r="C8" s="16">
        <v>3</v>
      </c>
      <c r="D8" s="16">
        <v>2</v>
      </c>
      <c r="E8" s="16">
        <v>12</v>
      </c>
      <c r="F8" s="8">
        <f t="shared" si="0"/>
        <v>26</v>
      </c>
    </row>
    <row r="9" spans="1:6">
      <c r="A9" s="8" t="s">
        <v>62</v>
      </c>
      <c r="B9" s="8">
        <f t="shared" ref="B9:E9" si="1">SUM(B3:B8)</f>
        <v>59</v>
      </c>
      <c r="C9" s="8">
        <f t="shared" si="1"/>
        <v>42</v>
      </c>
      <c r="D9" s="8">
        <f t="shared" si="1"/>
        <v>32</v>
      </c>
      <c r="E9" s="8">
        <f t="shared" si="1"/>
        <v>34</v>
      </c>
      <c r="F9" s="8">
        <f t="shared" si="0"/>
        <v>167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00FF"/>
  </sheetPr>
  <dimension ref="A1:F1000"/>
  <sheetViews>
    <sheetView showGridLines="0" workbookViewId="0">
      <selection sqref="A1:F1"/>
    </sheetView>
  </sheetViews>
  <sheetFormatPr defaultColWidth="14.42578125" defaultRowHeight="15" customHeight="1"/>
  <cols>
    <col min="1" max="26" width="8.85546875" customWidth="1"/>
  </cols>
  <sheetData>
    <row r="1" spans="1:6" ht="15.75">
      <c r="A1" s="57" t="s">
        <v>101</v>
      </c>
      <c r="B1" s="58"/>
      <c r="C1" s="58"/>
      <c r="D1" s="58"/>
      <c r="E1" s="58"/>
      <c r="F1" s="59"/>
    </row>
    <row r="2" spans="1:6">
      <c r="A2" s="16"/>
      <c r="B2" s="54" t="s">
        <v>5</v>
      </c>
      <c r="C2" s="54" t="s">
        <v>11</v>
      </c>
      <c r="D2" s="54" t="s">
        <v>12</v>
      </c>
      <c r="E2" s="54" t="s">
        <v>13</v>
      </c>
      <c r="F2" s="8" t="s">
        <v>62</v>
      </c>
    </row>
    <row r="3" spans="1:6">
      <c r="A3" s="54" t="s">
        <v>88</v>
      </c>
      <c r="B3" s="16">
        <v>9</v>
      </c>
      <c r="C3" s="16">
        <v>3</v>
      </c>
      <c r="D3" s="16">
        <v>14</v>
      </c>
      <c r="E3" s="16">
        <v>9</v>
      </c>
      <c r="F3" s="8">
        <f t="shared" ref="F3:F9" si="0">SUM(B3:E3)</f>
        <v>35</v>
      </c>
    </row>
    <row r="4" spans="1:6">
      <c r="A4" s="54" t="s">
        <v>90</v>
      </c>
      <c r="B4" s="16">
        <v>0</v>
      </c>
      <c r="C4" s="16">
        <v>8</v>
      </c>
      <c r="D4" s="16">
        <v>13</v>
      </c>
      <c r="E4" s="16">
        <v>2</v>
      </c>
      <c r="F4" s="8">
        <f t="shared" si="0"/>
        <v>23</v>
      </c>
    </row>
    <row r="5" spans="1:6">
      <c r="A5" s="54" t="s">
        <v>92</v>
      </c>
      <c r="B5" s="16">
        <v>13</v>
      </c>
      <c r="C5" s="16">
        <v>7</v>
      </c>
      <c r="D5" s="16">
        <v>2</v>
      </c>
      <c r="E5" s="16">
        <v>7</v>
      </c>
      <c r="F5" s="8">
        <f t="shared" si="0"/>
        <v>29</v>
      </c>
    </row>
    <row r="6" spans="1:6">
      <c r="A6" s="54" t="s">
        <v>94</v>
      </c>
      <c r="B6" s="16">
        <v>1</v>
      </c>
      <c r="C6" s="16">
        <v>13</v>
      </c>
      <c r="D6" s="16">
        <v>3</v>
      </c>
      <c r="E6" s="16">
        <v>5</v>
      </c>
      <c r="F6" s="8">
        <f t="shared" si="0"/>
        <v>22</v>
      </c>
    </row>
    <row r="7" spans="1:6">
      <c r="A7" s="54" t="s">
        <v>96</v>
      </c>
      <c r="B7" s="16">
        <v>3</v>
      </c>
      <c r="C7" s="16">
        <v>12</v>
      </c>
      <c r="D7" s="16">
        <v>10</v>
      </c>
      <c r="E7" s="16">
        <v>11</v>
      </c>
      <c r="F7" s="8">
        <f t="shared" si="0"/>
        <v>36</v>
      </c>
    </row>
    <row r="8" spans="1:6">
      <c r="A8" s="54" t="s">
        <v>97</v>
      </c>
      <c r="B8" s="16">
        <v>3</v>
      </c>
      <c r="C8" s="16">
        <v>0</v>
      </c>
      <c r="D8" s="16">
        <v>2</v>
      </c>
      <c r="E8" s="16">
        <v>11</v>
      </c>
      <c r="F8" s="8">
        <f t="shared" si="0"/>
        <v>16</v>
      </c>
    </row>
    <row r="9" spans="1:6">
      <c r="A9" s="8" t="s">
        <v>62</v>
      </c>
      <c r="B9" s="8">
        <f t="shared" ref="B9:E9" si="1">SUM(B3:B8)</f>
        <v>29</v>
      </c>
      <c r="C9" s="8">
        <f t="shared" si="1"/>
        <v>43</v>
      </c>
      <c r="D9" s="8">
        <f t="shared" si="1"/>
        <v>44</v>
      </c>
      <c r="E9" s="8">
        <f t="shared" si="1"/>
        <v>45</v>
      </c>
      <c r="F9" s="8">
        <f t="shared" si="0"/>
        <v>161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F1000"/>
  <sheetViews>
    <sheetView showGridLines="0" workbookViewId="0">
      <selection sqref="A1:F1"/>
    </sheetView>
  </sheetViews>
  <sheetFormatPr defaultColWidth="14.42578125" defaultRowHeight="15" customHeight="1"/>
  <cols>
    <col min="1" max="26" width="8.85546875" customWidth="1"/>
  </cols>
  <sheetData>
    <row r="1" spans="1:6" ht="15.75">
      <c r="A1" s="57" t="s">
        <v>102</v>
      </c>
      <c r="B1" s="58"/>
      <c r="C1" s="58"/>
      <c r="D1" s="58"/>
      <c r="E1" s="58"/>
      <c r="F1" s="59"/>
    </row>
    <row r="2" spans="1:6">
      <c r="A2" s="16"/>
      <c r="B2" s="54" t="s">
        <v>5</v>
      </c>
      <c r="C2" s="54" t="s">
        <v>11</v>
      </c>
      <c r="D2" s="54" t="s">
        <v>12</v>
      </c>
      <c r="E2" s="54" t="s">
        <v>13</v>
      </c>
      <c r="F2" s="8" t="s">
        <v>62</v>
      </c>
    </row>
    <row r="3" spans="1:6">
      <c r="A3" s="54" t="s">
        <v>88</v>
      </c>
      <c r="B3" s="16">
        <v>8</v>
      </c>
      <c r="C3" s="16">
        <v>14</v>
      </c>
      <c r="D3" s="16">
        <v>0</v>
      </c>
      <c r="E3" s="16">
        <v>7</v>
      </c>
      <c r="F3" s="8">
        <f t="shared" ref="F3:F9" si="0">SUM(B3:E3)</f>
        <v>29</v>
      </c>
    </row>
    <row r="4" spans="1:6">
      <c r="A4" s="54" t="s">
        <v>90</v>
      </c>
      <c r="B4" s="16">
        <v>4</v>
      </c>
      <c r="C4" s="16">
        <v>13</v>
      </c>
      <c r="D4" s="16">
        <v>6</v>
      </c>
      <c r="E4" s="16">
        <v>14</v>
      </c>
      <c r="F4" s="8">
        <f t="shared" si="0"/>
        <v>37</v>
      </c>
    </row>
    <row r="5" spans="1:6">
      <c r="A5" s="54" t="s">
        <v>92</v>
      </c>
      <c r="B5" s="16">
        <v>14</v>
      </c>
      <c r="C5" s="16">
        <v>2</v>
      </c>
      <c r="D5" s="16">
        <v>2</v>
      </c>
      <c r="E5" s="16">
        <v>6</v>
      </c>
      <c r="F5" s="8">
        <f t="shared" si="0"/>
        <v>24</v>
      </c>
    </row>
    <row r="6" spans="1:6">
      <c r="A6" s="54" t="s">
        <v>94</v>
      </c>
      <c r="B6" s="16">
        <v>4</v>
      </c>
      <c r="C6" s="16">
        <v>8</v>
      </c>
      <c r="D6" s="16">
        <v>2</v>
      </c>
      <c r="E6" s="16">
        <v>0</v>
      </c>
      <c r="F6" s="8">
        <f t="shared" si="0"/>
        <v>14</v>
      </c>
    </row>
    <row r="7" spans="1:6">
      <c r="A7" s="54" t="s">
        <v>96</v>
      </c>
      <c r="B7" s="16">
        <v>6</v>
      </c>
      <c r="C7" s="16">
        <v>5</v>
      </c>
      <c r="D7" s="16">
        <v>7</v>
      </c>
      <c r="E7" s="16">
        <v>0</v>
      </c>
      <c r="F7" s="8">
        <f t="shared" si="0"/>
        <v>18</v>
      </c>
    </row>
    <row r="8" spans="1:6">
      <c r="A8" s="54" t="s">
        <v>97</v>
      </c>
      <c r="B8" s="16">
        <v>12</v>
      </c>
      <c r="C8" s="16">
        <v>5</v>
      </c>
      <c r="D8" s="16">
        <v>2</v>
      </c>
      <c r="E8" s="16">
        <v>5</v>
      </c>
      <c r="F8" s="8">
        <f t="shared" si="0"/>
        <v>24</v>
      </c>
    </row>
    <row r="9" spans="1:6">
      <c r="A9" s="8" t="s">
        <v>62</v>
      </c>
      <c r="B9" s="8">
        <f t="shared" ref="B9:E9" si="1">SUM(B3:B8)</f>
        <v>48</v>
      </c>
      <c r="C9" s="8">
        <f t="shared" si="1"/>
        <v>47</v>
      </c>
      <c r="D9" s="8">
        <f t="shared" si="1"/>
        <v>19</v>
      </c>
      <c r="E9" s="8">
        <f t="shared" si="1"/>
        <v>32</v>
      </c>
      <c r="F9" s="8">
        <f t="shared" si="0"/>
        <v>146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References</vt:lpstr>
      <vt:lpstr>Assumption Sheet</vt:lpstr>
      <vt:lpstr>City 1</vt:lpstr>
      <vt:lpstr>City 2</vt:lpstr>
      <vt:lpstr>City 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Shubhansh Gupta</cp:lastModifiedBy>
  <dcterms:created xsi:type="dcterms:W3CDTF">2016-04-19T15:53:38Z</dcterms:created>
  <dcterms:modified xsi:type="dcterms:W3CDTF">2024-07-05T16:01:34Z</dcterms:modified>
</cp:coreProperties>
</file>